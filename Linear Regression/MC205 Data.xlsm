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park.CVC\Desktop\"/>
    </mc:Choice>
  </mc:AlternateContent>
  <bookViews>
    <workbookView xWindow="0" yWindow="0" windowWidth="28800" windowHeight="11685" activeTab="1"/>
  </bookViews>
  <sheets>
    <sheet name="Sheet4" sheetId="5" r:id="rId1"/>
    <sheet name="Sheet1" sheetId="6" r:id="rId2"/>
    <sheet name="Shipped" sheetId="1" r:id="rId3"/>
    <sheet name="Open Orders" sheetId="2" r:id="rId4"/>
    <sheet name="Sheet2" sheetId="3" r:id="rId5"/>
  </sheets>
  <definedNames>
    <definedName name="_xlnm._FilterDatabase" localSheetId="3" hidden="1">'Open Orders'!$A$1:$Y$11</definedName>
    <definedName name="_xlnm._FilterDatabase" localSheetId="2" hidden="1">Shipped!$A$1:$F$338</definedName>
    <definedName name="_xlcn.WorksheetConnection_MC205Data.xlsmOpen_Orders1" hidden="1">Open_Orders[]</definedName>
    <definedName name="_xlcn.WorksheetConnection_MC205Data.xlsmShipped_Orders1" hidden="1">Shipped_Orders[]</definedName>
  </definedNames>
  <calcPr calcId="171027"/>
  <pivotCaches>
    <pivotCache cacheId="23" r:id="rId6"/>
  </pivotCaches>
  <extLst>
    <ext xmlns:x15="http://schemas.microsoft.com/office/spreadsheetml/2010/11/main" uri="{FCE2AD5D-F65C-4FA6-A056-5C36A1767C68}">
      <x15:dataModel>
        <x15:modelTables>
          <x15:modelTable id="Shipped_Orders" name="Shipped_Orders" connection="WorksheetConnection_MC205 Data.xlsm!Shipped_Orders"/>
          <x15:modelTable id="Open_Orders" name="Open_Orders" connection="WorksheetConnection_MC205 Data.xlsm!Open_Orders"/>
        </x15:modelTables>
        <x15:extLst>
          <ext xmlns:x16="http://schemas.microsoft.com/office/spreadsheetml/2014/11/main" uri="{9835A34E-60A6-4A7C-AAB8-D5F71C897F49}">
            <x16:modelTimeGroupings>
              <x16:modelTimeGrouping tableName="Open_Orders" columnName="DATE_ORDER" columnId="DATE_ORDER">
                <x16:calculatedTimeColumn columnName="DATE_ORDER (Month Index)" columnId="DATE_ORDER (Month Index)" contentType="monthsindex" isSelected="1"/>
                <x16:calculatedTimeColumn columnName="DATE_ORDER (Month)" columnId="DATE_ORDER (Month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K29" i="6" l="1"/>
  <c r="J29" i="6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H48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9" i="6"/>
  <c r="H50" i="6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MC205 Data.xlsm!Open_Orders" type="102" refreshedVersion="6" minRefreshableVersion="5">
    <extLst>
      <ext xmlns:x15="http://schemas.microsoft.com/office/spreadsheetml/2010/11/main" uri="{DE250136-89BD-433C-8126-D09CA5730AF9}">
        <x15:connection id="Open_Orders">
          <x15:rangePr sourceName="_xlcn.WorksheetConnection_MC205Data.xlsmOpen_Orders1"/>
        </x15:connection>
      </ext>
    </extLst>
  </connection>
  <connection id="3" name="WorksheetConnection_MC205 Data.xlsm!Shipped_Orders" type="102" refreshedVersion="6" minRefreshableVersion="5">
    <extLst>
      <ext xmlns:x15="http://schemas.microsoft.com/office/spreadsheetml/2010/11/main" uri="{DE250136-89BD-433C-8126-D09CA5730AF9}">
        <x15:connection id="Shipped_Orders">
          <x15:rangePr sourceName="_xlcn.WorksheetConnection_MC205Data.xlsmShipped_Orders1"/>
        </x15:connection>
      </ext>
    </extLst>
  </connection>
</connections>
</file>

<file path=xl/sharedStrings.xml><?xml version="1.0" encoding="utf-8"?>
<sst xmlns="http://schemas.openxmlformats.org/spreadsheetml/2006/main" count="1551" uniqueCount="434">
  <si>
    <t>Customer Number</t>
  </si>
  <si>
    <t>Invoice Date</t>
  </si>
  <si>
    <t>Shipped Quantity</t>
  </si>
  <si>
    <t>Ship Date</t>
  </si>
  <si>
    <t>Sales Order Number</t>
  </si>
  <si>
    <t>Customer Name</t>
  </si>
  <si>
    <t>EQU020</t>
  </si>
  <si>
    <t>0008617-0000</t>
  </si>
  <si>
    <t xml:space="preserve">EQUIPMENT &amp; CONTROLS, INC.              </t>
  </si>
  <si>
    <t>WIN010</t>
  </si>
  <si>
    <t>0008542-0000</t>
  </si>
  <si>
    <t xml:space="preserve">WINN-MARION                             </t>
  </si>
  <si>
    <t>0008494-0000</t>
  </si>
  <si>
    <t>0008420-0000</t>
  </si>
  <si>
    <t>0008389-0000</t>
  </si>
  <si>
    <t>SUP010</t>
  </si>
  <si>
    <t>0008404-0001</t>
  </si>
  <si>
    <t xml:space="preserve">SUPERIOR ENERGY SERVICES, LLC           </t>
  </si>
  <si>
    <t>0008388-0000</t>
  </si>
  <si>
    <t>WEL010</t>
  </si>
  <si>
    <t>0007999-0003</t>
  </si>
  <si>
    <t xml:space="preserve">WELL MASTER CORPORATION                 </t>
  </si>
  <si>
    <t>DNO010</t>
  </si>
  <si>
    <t>0008514-0000</t>
  </si>
  <si>
    <t xml:space="preserve">DNOW L.P.                               </t>
  </si>
  <si>
    <t>0008102-0002</t>
  </si>
  <si>
    <t>0008404-0000</t>
  </si>
  <si>
    <t>0007999-0002</t>
  </si>
  <si>
    <t>0008100-0002</t>
  </si>
  <si>
    <t>0008178-0000</t>
  </si>
  <si>
    <t>VAL020</t>
  </si>
  <si>
    <t>0008259-0000</t>
  </si>
  <si>
    <t xml:space="preserve">VALVE SALES, INC.                       </t>
  </si>
  <si>
    <t>0007351-0001</t>
  </si>
  <si>
    <t>0007999-0001</t>
  </si>
  <si>
    <t>0007365-0000</t>
  </si>
  <si>
    <t>0007758-0000</t>
  </si>
  <si>
    <t>0007840-0001</t>
  </si>
  <si>
    <t>0008133-0000</t>
  </si>
  <si>
    <t>0008102-0001</t>
  </si>
  <si>
    <t>0008086-0000</t>
  </si>
  <si>
    <t>0008102-0000</t>
  </si>
  <si>
    <t>0008065-0004</t>
  </si>
  <si>
    <t>0007999-0000</t>
  </si>
  <si>
    <t>0007959-0000</t>
  </si>
  <si>
    <t>0008065-0002</t>
  </si>
  <si>
    <t>0007907-0002</t>
  </si>
  <si>
    <t>0007967-0000</t>
  </si>
  <si>
    <t>0007961-0000</t>
  </si>
  <si>
    <t>0007931-0001</t>
  </si>
  <si>
    <t>0007907-0001</t>
  </si>
  <si>
    <t>0007960-0001</t>
  </si>
  <si>
    <t>0007960-0000</t>
  </si>
  <si>
    <t>0007899-0000</t>
  </si>
  <si>
    <t>BRE020</t>
  </si>
  <si>
    <t>0007928-0001</t>
  </si>
  <si>
    <t xml:space="preserve">BRENNAN ENGINEERING INC.                </t>
  </si>
  <si>
    <t>0007907-0000</t>
  </si>
  <si>
    <t>0007862-0000</t>
  </si>
  <si>
    <t>0007931-0000</t>
  </si>
  <si>
    <t>0007887-0001</t>
  </si>
  <si>
    <t>0007902-0000</t>
  </si>
  <si>
    <t>0007824-0000</t>
  </si>
  <si>
    <t>MUL010</t>
  </si>
  <si>
    <t>0007778-0000</t>
  </si>
  <si>
    <t xml:space="preserve">MULTI PRODUCTS CO                       </t>
  </si>
  <si>
    <t>0007763-0001</t>
  </si>
  <si>
    <t>0007884-0000</t>
  </si>
  <si>
    <t>0007887-0000</t>
  </si>
  <si>
    <t>0007786-0000</t>
  </si>
  <si>
    <t>0007694-0001</t>
  </si>
  <si>
    <t>0007694-0000</t>
  </si>
  <si>
    <t>0007763-0000</t>
  </si>
  <si>
    <t>0007821-0000</t>
  </si>
  <si>
    <t>0007668-0000</t>
  </si>
  <si>
    <t>0007549-0005</t>
  </si>
  <si>
    <t>0007622-0000</t>
  </si>
  <si>
    <t>0007618-0000</t>
  </si>
  <si>
    <t>0007549-0004</t>
  </si>
  <si>
    <t>0007549-0003</t>
  </si>
  <si>
    <t>0007549-0001</t>
  </si>
  <si>
    <t>0007549-0000</t>
  </si>
  <si>
    <t>0007498-0000</t>
  </si>
  <si>
    <t>0007562-0000</t>
  </si>
  <si>
    <t>0007456-0001</t>
  </si>
  <si>
    <t>0007455-0000</t>
  </si>
  <si>
    <t>0007456-0000</t>
  </si>
  <si>
    <t>0007351-0000</t>
  </si>
  <si>
    <t>0007109-0003</t>
  </si>
  <si>
    <t>0007355-0000</t>
  </si>
  <si>
    <t>0007109-0001</t>
  </si>
  <si>
    <t>0007246-0000</t>
  </si>
  <si>
    <t>0007199-0000</t>
  </si>
  <si>
    <t>0007109-0000</t>
  </si>
  <si>
    <t>0007181-0000</t>
  </si>
  <si>
    <t>0007286-0000</t>
  </si>
  <si>
    <t>0006849-0006</t>
  </si>
  <si>
    <t>0006849-0005</t>
  </si>
  <si>
    <t>0006849-0004</t>
  </si>
  <si>
    <t>0007116-0000</t>
  </si>
  <si>
    <t>0007213-0000</t>
  </si>
  <si>
    <t>0007082-0000</t>
  </si>
  <si>
    <t>0007090-0000</t>
  </si>
  <si>
    <t>0007099-0001</t>
  </si>
  <si>
    <t>0006849-0003</t>
  </si>
  <si>
    <t>0006950-0000</t>
  </si>
  <si>
    <t>0006978-0000</t>
  </si>
  <si>
    <t>0006973-0000</t>
  </si>
  <si>
    <t>0006849-0002</t>
  </si>
  <si>
    <t>0006968-0000</t>
  </si>
  <si>
    <t>0007006-0000</t>
  </si>
  <si>
    <t>0006849-0000</t>
  </si>
  <si>
    <t>0006849-0001</t>
  </si>
  <si>
    <t>0006923-0000</t>
  </si>
  <si>
    <t>BPW010</t>
  </si>
  <si>
    <t>0006918-0000</t>
  </si>
  <si>
    <t xml:space="preserve">BP-WAMSUTTER FIELD OFFICE               </t>
  </si>
  <si>
    <t>0006904-0000</t>
  </si>
  <si>
    <t>0006661-0004</t>
  </si>
  <si>
    <t>0006771-0001</t>
  </si>
  <si>
    <t>0006771-0000</t>
  </si>
  <si>
    <t>0006661-0003</t>
  </si>
  <si>
    <t>0006741-0000</t>
  </si>
  <si>
    <t>0006817-0000</t>
  </si>
  <si>
    <t>0006661-0002</t>
  </si>
  <si>
    <t>0006764-0001</t>
  </si>
  <si>
    <t>0006779-0000</t>
  </si>
  <si>
    <t>0006661-0001</t>
  </si>
  <si>
    <t>0006739-0000</t>
  </si>
  <si>
    <t>0006668-0000</t>
  </si>
  <si>
    <t>0006704-0000</t>
  </si>
  <si>
    <t>0006661-0000</t>
  </si>
  <si>
    <t>0006663-0000</t>
  </si>
  <si>
    <t>0006536-0000</t>
  </si>
  <si>
    <t>0006529-0000</t>
  </si>
  <si>
    <t>0006547-0000</t>
  </si>
  <si>
    <t>0006464-0000</t>
  </si>
  <si>
    <t>0006465-0001</t>
  </si>
  <si>
    <t>0006460-0000</t>
  </si>
  <si>
    <t>0006465-0000</t>
  </si>
  <si>
    <t>0006393-0000</t>
  </si>
  <si>
    <t>0006342-0000</t>
  </si>
  <si>
    <t>XTO010</t>
  </si>
  <si>
    <t>0006396-0000</t>
  </si>
  <si>
    <t xml:space="preserve">XTO ENERGY, INC.                        </t>
  </si>
  <si>
    <t>0006347-0000</t>
  </si>
  <si>
    <t>0006332-0000</t>
  </si>
  <si>
    <t>0006303-0002</t>
  </si>
  <si>
    <t>PRO050</t>
  </si>
  <si>
    <t>0006317-0000</t>
  </si>
  <si>
    <t xml:space="preserve">PRODUCERS SUPPLY CO., INC.              </t>
  </si>
  <si>
    <t>0006303-0001</t>
  </si>
  <si>
    <t>0006316-0000</t>
  </si>
  <si>
    <t>IPS010</t>
  </si>
  <si>
    <t>0006105-0000</t>
  </si>
  <si>
    <t xml:space="preserve">INTEGRATED PRODUCTION                   </t>
  </si>
  <si>
    <t>0006303-0000</t>
  </si>
  <si>
    <t>0006298-0000</t>
  </si>
  <si>
    <t>0006265-0000</t>
  </si>
  <si>
    <t>0006256-0000</t>
  </si>
  <si>
    <t>0006270-0000</t>
  </si>
  <si>
    <t>0006213-0000</t>
  </si>
  <si>
    <t>0006104-0000</t>
  </si>
  <si>
    <t>0006172-0000</t>
  </si>
  <si>
    <t>0006170-0000</t>
  </si>
  <si>
    <t>0006174-0000</t>
  </si>
  <si>
    <t>0006103-0000</t>
  </si>
  <si>
    <t>0006188-0000</t>
  </si>
  <si>
    <t>0006107-0000</t>
  </si>
  <si>
    <t>0006112-0001</t>
  </si>
  <si>
    <t>0006112-0000</t>
  </si>
  <si>
    <t>0006045-0001</t>
  </si>
  <si>
    <t>0006049-0000</t>
  </si>
  <si>
    <t>0006024-0000</t>
  </si>
  <si>
    <t>0006065-0000</t>
  </si>
  <si>
    <t>0006011-0000</t>
  </si>
  <si>
    <t>0006028-0000</t>
  </si>
  <si>
    <t>0006045-0000</t>
  </si>
  <si>
    <t>0005892-0000</t>
  </si>
  <si>
    <t>0005898-0000</t>
  </si>
  <si>
    <t>0005889-0001</t>
  </si>
  <si>
    <t>0005912-0001</t>
  </si>
  <si>
    <t>0005912-0002</t>
  </si>
  <si>
    <t>0005870-0001</t>
  </si>
  <si>
    <t>0005858-0001</t>
  </si>
  <si>
    <t>0005829-0001</t>
  </si>
  <si>
    <t>0005867-0001</t>
  </si>
  <si>
    <t>0005810-0001</t>
  </si>
  <si>
    <t>0005823-0001</t>
  </si>
  <si>
    <t>0005825-0001</t>
  </si>
  <si>
    <t>0005805-0001</t>
  </si>
  <si>
    <t>0005689-0001</t>
  </si>
  <si>
    <t>0005694-0002</t>
  </si>
  <si>
    <t>0005757-0002</t>
  </si>
  <si>
    <t>0005701-0001</t>
  </si>
  <si>
    <t>0005591-0001</t>
  </si>
  <si>
    <t>0005517-0000</t>
  </si>
  <si>
    <t>0005519-0000</t>
  </si>
  <si>
    <t>0005458-0000</t>
  </si>
  <si>
    <t>0005440-0002</t>
  </si>
  <si>
    <t>0005451-0000</t>
  </si>
  <si>
    <t>0005441-0000</t>
  </si>
  <si>
    <t>0005440-0001</t>
  </si>
  <si>
    <t>0005440-0000</t>
  </si>
  <si>
    <t>0005446-0000</t>
  </si>
  <si>
    <t>0005375-0001</t>
  </si>
  <si>
    <t>GLO010</t>
  </si>
  <si>
    <t>0004818-0000</t>
  </si>
  <si>
    <t xml:space="preserve">GLOBAL PRODUCTION SOLUTIONS             </t>
  </si>
  <si>
    <t>0005371-0000</t>
  </si>
  <si>
    <t>0005375-0000</t>
  </si>
  <si>
    <t>0005219-0000</t>
  </si>
  <si>
    <t>0005267-0000</t>
  </si>
  <si>
    <t>0005265-0000</t>
  </si>
  <si>
    <t>0005174-0000</t>
  </si>
  <si>
    <t>0005163-0000</t>
  </si>
  <si>
    <t>SIV010</t>
  </si>
  <si>
    <t>0005170-0000</t>
  </si>
  <si>
    <t xml:space="preserve">SIVALLS, INC.                           </t>
  </si>
  <si>
    <t>0005084-0000</t>
  </si>
  <si>
    <t>0005130-0000</t>
  </si>
  <si>
    <t>0005073-0000</t>
  </si>
  <si>
    <t>0004987-0000</t>
  </si>
  <si>
    <t>0004947-0000</t>
  </si>
  <si>
    <t>0004922-0000</t>
  </si>
  <si>
    <t>0004847-0000</t>
  </si>
  <si>
    <t>0004903-0000</t>
  </si>
  <si>
    <t>0004866-0000</t>
  </si>
  <si>
    <t>0004872-0000</t>
  </si>
  <si>
    <t>0004797-0000</t>
  </si>
  <si>
    <t>0004687-0000</t>
  </si>
  <si>
    <t>0004645-0000</t>
  </si>
  <si>
    <t>0004547-0001</t>
  </si>
  <si>
    <t>0004554-0000</t>
  </si>
  <si>
    <t>0004547-0000</t>
  </si>
  <si>
    <t>0004436-0000</t>
  </si>
  <si>
    <t>0004333-0000</t>
  </si>
  <si>
    <t>0004342-0000</t>
  </si>
  <si>
    <t>0004275-0000</t>
  </si>
  <si>
    <t>0004294-0000</t>
  </si>
  <si>
    <t>0004254-0000</t>
  </si>
  <si>
    <t>0004256-0000</t>
  </si>
  <si>
    <t>0004305-0000</t>
  </si>
  <si>
    <t>0004218-0000</t>
  </si>
  <si>
    <t>0004151-0000</t>
  </si>
  <si>
    <t>0004063-0000</t>
  </si>
  <si>
    <t>0004179-0000</t>
  </si>
  <si>
    <t>0004181-0000</t>
  </si>
  <si>
    <t>0004062-0000</t>
  </si>
  <si>
    <t>0004126-0000</t>
  </si>
  <si>
    <t>0003383-0008</t>
  </si>
  <si>
    <t>0004125-0000</t>
  </si>
  <si>
    <t>0004091-0000</t>
  </si>
  <si>
    <t>0003383-0007</t>
  </si>
  <si>
    <t>0004025-0002</t>
  </si>
  <si>
    <t>0004002-0002</t>
  </si>
  <si>
    <t>0004025-0001</t>
  </si>
  <si>
    <t>0004083-0000</t>
  </si>
  <si>
    <t>0004010-0000</t>
  </si>
  <si>
    <t>0004025-0000</t>
  </si>
  <si>
    <t>0004048-0000</t>
  </si>
  <si>
    <t>0004002-0001</t>
  </si>
  <si>
    <t>0003383-0006</t>
  </si>
  <si>
    <t>0003902-0000</t>
  </si>
  <si>
    <t>0003932-0000</t>
  </si>
  <si>
    <t>0003601-0000</t>
  </si>
  <si>
    <t>0003431-0000</t>
  </si>
  <si>
    <t>0003383-0005</t>
  </si>
  <si>
    <t>0003870-0001</t>
  </si>
  <si>
    <t>0003802-0000</t>
  </si>
  <si>
    <t>0003761-0001</t>
  </si>
  <si>
    <t>0003835-0000</t>
  </si>
  <si>
    <t>0003772-0000</t>
  </si>
  <si>
    <t>0003383-0004</t>
  </si>
  <si>
    <t>0003694-0000</t>
  </si>
  <si>
    <t>0003761-0000</t>
  </si>
  <si>
    <t>0003671-0000</t>
  </si>
  <si>
    <t>0003580-0000</t>
  </si>
  <si>
    <t>0003383-0003</t>
  </si>
  <si>
    <t>0003632-0000</t>
  </si>
  <si>
    <t>0003633-0000</t>
  </si>
  <si>
    <t>0003634-0000</t>
  </si>
  <si>
    <t>0003549-0000</t>
  </si>
  <si>
    <t>0003383-0002</t>
  </si>
  <si>
    <t>0003515-0000</t>
  </si>
  <si>
    <t>0003511-0000</t>
  </si>
  <si>
    <t>0003518-0001</t>
  </si>
  <si>
    <t>0003383-0001</t>
  </si>
  <si>
    <t>0003466-0000</t>
  </si>
  <si>
    <t>0003563-0000</t>
  </si>
  <si>
    <t>0003518-0000</t>
  </si>
  <si>
    <t>0003383-0000</t>
  </si>
  <si>
    <t>0003316-0002</t>
  </si>
  <si>
    <t>0003316-0001</t>
  </si>
  <si>
    <t>0003266-0000</t>
  </si>
  <si>
    <t>0003267-0000</t>
  </si>
  <si>
    <t>0003316-0000</t>
  </si>
  <si>
    <t>0003239-0000</t>
  </si>
  <si>
    <t>0003275-0002</t>
  </si>
  <si>
    <t>0003158-0000</t>
  </si>
  <si>
    <t>BPF010</t>
  </si>
  <si>
    <t>0003161-0000</t>
  </si>
  <si>
    <t xml:space="preserve">BP-FARMINGTON FIELD OFFICE              </t>
  </si>
  <si>
    <t>0003275-0001</t>
  </si>
  <si>
    <t>0003199-0000</t>
  </si>
  <si>
    <t>ANA010</t>
  </si>
  <si>
    <t>0003233-0000</t>
  </si>
  <si>
    <t xml:space="preserve">ANADARKO PETROLEUM CORPORATION          </t>
  </si>
  <si>
    <t>0003226-0000</t>
  </si>
  <si>
    <t>0003234-0000</t>
  </si>
  <si>
    <t>0002914-0000</t>
  </si>
  <si>
    <t>0002914-0001</t>
  </si>
  <si>
    <t>0002914-0003</t>
  </si>
  <si>
    <t>0003024-0000</t>
  </si>
  <si>
    <t>0003022-0000</t>
  </si>
  <si>
    <t>0002945-0000</t>
  </si>
  <si>
    <t>0002946-0000</t>
  </si>
  <si>
    <t>0002947-0000</t>
  </si>
  <si>
    <t>WIL010</t>
  </si>
  <si>
    <t>0002944-0000</t>
  </si>
  <si>
    <t xml:space="preserve">WILSON SUPPLY COMPANY                   </t>
  </si>
  <si>
    <t>0003003-0000</t>
  </si>
  <si>
    <t>0002950-0000</t>
  </si>
  <si>
    <t>0002930-0000</t>
  </si>
  <si>
    <t>0002901-0000</t>
  </si>
  <si>
    <t>0002843-0000</t>
  </si>
  <si>
    <t>0002844-0000</t>
  </si>
  <si>
    <t>0002845-0000</t>
  </si>
  <si>
    <t>0002757-0000</t>
  </si>
  <si>
    <t>0002768-0000</t>
  </si>
  <si>
    <t>0002841-0000</t>
  </si>
  <si>
    <t>0002828-0000</t>
  </si>
  <si>
    <t>0002763-0000</t>
  </si>
  <si>
    <t>0002731-0000</t>
  </si>
  <si>
    <t>0002664-0003</t>
  </si>
  <si>
    <t>0002664-0002</t>
  </si>
  <si>
    <t>0002666-0001</t>
  </si>
  <si>
    <t>0002660-0001</t>
  </si>
  <si>
    <t>0002660-0000</t>
  </si>
  <si>
    <t>0002664-0001</t>
  </si>
  <si>
    <t>0002658-0001</t>
  </si>
  <si>
    <t>0002658-0000</t>
  </si>
  <si>
    <t>0002648-0000</t>
  </si>
  <si>
    <t>0002636-0000</t>
  </si>
  <si>
    <t>0002599-0000</t>
  </si>
  <si>
    <t>0002525-0000</t>
  </si>
  <si>
    <t>0002359-0000</t>
  </si>
  <si>
    <t>0002360-0000</t>
  </si>
  <si>
    <t>0002274-0000</t>
  </si>
  <si>
    <t>0002255-0000</t>
  </si>
  <si>
    <t>0002259-0000</t>
  </si>
  <si>
    <t>0001906-0000</t>
  </si>
  <si>
    <t>0001853-0001</t>
  </si>
  <si>
    <t>0001853-0000</t>
  </si>
  <si>
    <t>0001795-0000</t>
  </si>
  <si>
    <t>0001781-0000</t>
  </si>
  <si>
    <t>0001703-0000</t>
  </si>
  <si>
    <t>0001694-0001</t>
  </si>
  <si>
    <t>0001516-0000</t>
  </si>
  <si>
    <t>0001319-0000</t>
  </si>
  <si>
    <t>0001319-0001</t>
  </si>
  <si>
    <t>SHIP_ID</t>
  </si>
  <si>
    <t>Cust Ship</t>
  </si>
  <si>
    <t>Sold To Name</t>
  </si>
  <si>
    <t>Ship To Name</t>
  </si>
  <si>
    <t>CITY_SHIP</t>
  </si>
  <si>
    <t>STATE_SHIP</t>
  </si>
  <si>
    <t>QTY_ORDERED</t>
  </si>
  <si>
    <t>QTY_SHIPPED</t>
  </si>
  <si>
    <t>QTY_BO</t>
  </si>
  <si>
    <t>PART</t>
  </si>
  <si>
    <t>DESCRIPTION</t>
  </si>
  <si>
    <t>PRICE</t>
  </si>
  <si>
    <t>EXTENSION</t>
  </si>
  <si>
    <t>DATE_ORDER</t>
  </si>
  <si>
    <t>MUST_DLVR_BY_DATE</t>
  </si>
  <si>
    <t>PRODUCT_LINE</t>
  </si>
  <si>
    <t>ORDER_NO2</t>
  </si>
  <si>
    <t>USER_1</t>
  </si>
  <si>
    <t>USER_2</t>
  </si>
  <si>
    <t>USER_3</t>
  </si>
  <si>
    <t>USER_4</t>
  </si>
  <si>
    <t>USER_5</t>
  </si>
  <si>
    <t>DATE_ITEM_PROM</t>
  </si>
  <si>
    <t>MUST_DLVR_BY_DATE2</t>
  </si>
  <si>
    <t>Days Late</t>
  </si>
  <si>
    <t>000001</t>
  </si>
  <si>
    <t/>
  </si>
  <si>
    <t>000002</t>
  </si>
  <si>
    <t>BUNDLE 2</t>
  </si>
  <si>
    <t>STDC2050-D2FE-9N-9-5-EA-6</t>
  </si>
  <si>
    <t>FA</t>
  </si>
  <si>
    <t>BUNDLE 1</t>
  </si>
  <si>
    <t>Z</t>
  </si>
  <si>
    <t>MC205-CNE-9-808</t>
  </si>
  <si>
    <t>0008100</t>
  </si>
  <si>
    <t>000014</t>
  </si>
  <si>
    <t>0008539</t>
  </si>
  <si>
    <t>0008102</t>
  </si>
  <si>
    <t>0008660</t>
  </si>
  <si>
    <t>0008592</t>
  </si>
  <si>
    <t>0008718</t>
  </si>
  <si>
    <t>0008653</t>
  </si>
  <si>
    <t>0008655</t>
  </si>
  <si>
    <t>WELL MASTER CORPORATION</t>
  </si>
  <si>
    <t>CO</t>
  </si>
  <si>
    <t>PA</t>
  </si>
  <si>
    <t>GOLDEN</t>
  </si>
  <si>
    <t>MN</t>
  </si>
  <si>
    <t>SMITHTON</t>
  </si>
  <si>
    <t>SUPERIOR ENERGY SERVICES</t>
  </si>
  <si>
    <t>EQUIPMENT &amp; CONTROLS, INC.</t>
  </si>
  <si>
    <t>MONESSEN</t>
  </si>
  <si>
    <t>SUP010000002</t>
  </si>
  <si>
    <t>SUPERIOR ENERGY SERVICES, LLC</t>
  </si>
  <si>
    <t>7-2018</t>
  </si>
  <si>
    <t>WEL010000014</t>
  </si>
  <si>
    <t>DUN010000001</t>
  </si>
  <si>
    <t>DUNCAN COMPANY</t>
  </si>
  <si>
    <t>MINNEAPOLIS</t>
  </si>
  <si>
    <t>9-2018</t>
  </si>
  <si>
    <t>EQU020000001</t>
  </si>
  <si>
    <t>Part</t>
  </si>
  <si>
    <t>Row Labels</t>
  </si>
  <si>
    <t>Grand Total</t>
  </si>
  <si>
    <t>Sum of QTY_ORDERED</t>
  </si>
  <si>
    <t>Date</t>
  </si>
  <si>
    <t>Open</t>
  </si>
  <si>
    <t>High</t>
  </si>
  <si>
    <t>Low</t>
  </si>
  <si>
    <t>Close</t>
  </si>
  <si>
    <t>Volume</t>
  </si>
  <si>
    <t>Market Cap</t>
  </si>
  <si>
    <t>Vol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</si>
</sst>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/>
    </xf>
    <xf numFmtId="15" fontId="0" fillId="0" borderId="0" xfId="0" applyNumberFormat="1"/>
    <xf numFmtId="3" fontId="0" fillId="0" borderId="0" xfId="0" applyNumberFormat="1"/>
    <xf numFmtId="15" fontId="16" fillId="0" borderId="0" xfId="0" applyNumberFormat="1" applyFont="1"/>
    <xf numFmtId="0" fontId="16" fillId="0" borderId="0" xfId="0" applyFont="1"/>
    <xf numFmtId="3" fontId="16" fillId="0" borderId="0" xfId="0" applyNumberFormat="1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16" fillId="34" borderId="0" xfId="0" applyFont="1" applyFill="1"/>
    <xf numFmtId="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numFmt numFmtId="19" formatCode="m/d/yyyy"/>
    </dxf>
    <dxf>
      <numFmt numFmtId="19" formatCode="m/d/yyyy"/>
    </dxf>
    <dxf>
      <numFmt numFmtId="0" formatCode="General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Ryan Park" refreshedDate="43283.740260995372" createdVersion="5" refreshedVersion="6" minRefreshableVersion="3" recordCount="0" supportSubquery="1" supportAdvancedDrill="1">
  <cacheSource type="external" connectionId="1"/>
  <cacheFields count="2">
    <cacheField name="[Open_Orders].[DATE_ORDER].[DATE_ORDER]" caption="DATE_ORDER" numFmtId="0" hierarchy="3" level="1">
      <sharedItems containsSemiMixedTypes="0" containsNonDate="0" containsDate="1" containsString="0" minDate="2018-01-19T00:00:00" maxDate="2018-06-26T00:00:00" count="7">
        <d v="2018-01-19T00:00:00"/>
        <d v="2018-01-22T00:00:00"/>
        <d v="2018-05-14T00:00:00"/>
        <d v="2018-05-25T00:00:00"/>
        <d v="2018-06-12T00:00:00"/>
        <d v="2018-06-13T00:00:00"/>
        <d v="2018-06-25T00:00:00"/>
      </sharedItems>
    </cacheField>
    <cacheField name="[Measures].[Sum of QTY_ORDERED]" caption="Sum of QTY_ORDERED" numFmtId="0" hierarchy="37" level="32767"/>
  </cacheFields>
  <cacheHierarchies count="39">
    <cacheHierarchy uniqueName="[Open_Orders].[CITY_SHIP]" caption="CITY_SHIP" attribute="1" defaultMemberUniqueName="[Open_Orders].[CITY_SHIP].[All]" allUniqueName="[Open_Orders].[CITY_SHIP].[All]" dimensionUniqueName="[Open_Orders]" displayFolder="" count="0" memberValueDatatype="130" unbalanced="0"/>
    <cacheHierarchy uniqueName="[Open_Orders].[Cust Ship]" caption="Cust Ship" attribute="1" defaultMemberUniqueName="[Open_Orders].[Cust Ship].[All]" allUniqueName="[Open_Orders].[Cust Ship].[All]" dimensionUniqueName="[Open_Orders]" displayFolder="" count="0" memberValueDatatype="130" unbalanced="0"/>
    <cacheHierarchy uniqueName="[Open_Orders].[DATE_ITEM_PROM]" caption="DATE_ITEM_PROM" attribute="1" defaultMemberUniqueName="[Open_Orders].[DATE_ITEM_PROM].[All]" allUniqueName="[Open_Orders].[DATE_ITEM_PROM].[All]" dimensionUniqueName="[Open_Orders]" displayFolder="" count="0" memberValueDatatype="20" unbalanced="0"/>
    <cacheHierarchy uniqueName="[Open_Orders].[DATE_ORDER]" caption="DATE_ORDER" attribute="1" time="1" defaultMemberUniqueName="[Open_Orders].[DATE_ORDER].[All]" allUniqueName="[Open_Orders].[DATE_ORDER].[All]" dimensionUniqueName="[Open_Orders]" displayFolder="" count="2" memberValueDatatype="7" unbalanced="0">
      <fieldsUsage count="2">
        <fieldUsage x="-1"/>
        <fieldUsage x="0"/>
      </fieldsUsage>
    </cacheHierarchy>
    <cacheHierarchy uniqueName="[Open_Orders].[DATE_ORDER (Month)]" caption="DATE_ORDER (Month)" attribute="1" defaultMemberUniqueName="[Open_Orders].[DATE_ORDER (Month)].[All]" allUniqueName="[Open_Orders].[DATE_ORDER (Month)].[All]" dimensionUniqueName="[Open_Orders]" displayFolder="" count="0" memberValueDatatype="130" unbalanced="0"/>
    <cacheHierarchy uniqueName="[Open_Orders].[Days Late]" caption="Days Late" attribute="1" defaultMemberUniqueName="[Open_Orders].[Days Late].[All]" allUniqueName="[Open_Orders].[Days Late].[All]" dimensionUniqueName="[Open_Orders]" displayFolder="" count="0" memberValueDatatype="20" unbalanced="0"/>
    <cacheHierarchy uniqueName="[Open_Orders].[DESCRIPTION]" caption="DESCRIPTION" attribute="1" defaultMemberUniqueName="[Open_Orders].[DESCRIPTION].[All]" allUniqueName="[Open_Orders].[DESCRIPTION].[All]" dimensionUniqueName="[Open_Orders]" displayFolder="" count="0" memberValueDatatype="130" unbalanced="0"/>
    <cacheHierarchy uniqueName="[Open_Orders].[EXTENSION]" caption="EXTENSION" attribute="1" defaultMemberUniqueName="[Open_Orders].[EXTENSION].[All]" allUniqueName="[Open_Orders].[EXTENSION].[All]" dimensionUniqueName="[Open_Orders]" displayFolder="" count="0" memberValueDatatype="20" unbalanced="0"/>
    <cacheHierarchy uniqueName="[Open_Orders].[MUST_DLVR_BY_DATE]" caption="MUST_DLVR_BY_DATE" attribute="1" time="1" defaultMemberUniqueName="[Open_Orders].[MUST_DLVR_BY_DATE].[All]" allUniqueName="[Open_Orders].[MUST_DLVR_BY_DATE].[All]" dimensionUniqueName="[Open_Orders]" displayFolder="" count="0" memberValueDatatype="7" unbalanced="0"/>
    <cacheHierarchy uniqueName="[Open_Orders].[MUST_DLVR_BY_DATE2]" caption="MUST_DLVR_BY_DATE2" attribute="1" defaultMemberUniqueName="[Open_Orders].[MUST_DLVR_BY_DATE2].[All]" allUniqueName="[Open_Orders].[MUST_DLVR_BY_DATE2].[All]" dimensionUniqueName="[Open_Orders]" displayFolder="" count="0" memberValueDatatype="130" unbalanced="0"/>
    <cacheHierarchy uniqueName="[Open_Orders].[ORDER_NO2]" caption="ORDER_NO2" attribute="1" defaultMemberUniqueName="[Open_Orders].[ORDER_NO2].[All]" allUniqueName="[Open_Orders].[ORDER_NO2].[All]" dimensionUniqueName="[Open_Orders]" displayFolder="" count="0" memberValueDatatype="130" unbalanced="0"/>
    <cacheHierarchy uniqueName="[Open_Orders].[PART]" caption="PART" attribute="1" defaultMemberUniqueName="[Open_Orders].[PART].[All]" allUniqueName="[Open_Orders].[PART].[All]" dimensionUniqueName="[Open_Orders]" displayFolder="" count="0" memberValueDatatype="130" unbalanced="0"/>
    <cacheHierarchy uniqueName="[Open_Orders].[PRICE]" caption="PRICE" attribute="1" defaultMemberUniqueName="[Open_Orders].[PRICE].[All]" allUniqueName="[Open_Orders].[PRICE].[All]" dimensionUniqueName="[Open_Orders]" displayFolder="" count="0" memberValueDatatype="20" unbalanced="0"/>
    <cacheHierarchy uniqueName="[Open_Orders].[PRODUCT_LINE]" caption="PRODUCT_LINE" attribute="1" defaultMemberUniqueName="[Open_Orders].[PRODUCT_LINE].[All]" allUniqueName="[Open_Orders].[PRODUCT_LINE].[All]" dimensionUniqueName="[Open_Orders]" displayFolder="" count="0" memberValueDatatype="130" unbalanced="0"/>
    <cacheHierarchy uniqueName="[Open_Orders].[QTY_BO]" caption="QTY_BO" attribute="1" defaultMemberUniqueName="[Open_Orders].[QTY_BO].[All]" allUniqueName="[Open_Orders].[QTY_BO].[All]" dimensionUniqueName="[Open_Orders]" displayFolder="" count="0" memberValueDatatype="20" unbalanced="0"/>
    <cacheHierarchy uniqueName="[Open_Orders].[QTY_ORDERED]" caption="QTY_ORDERED" attribute="1" defaultMemberUniqueName="[Open_Orders].[QTY_ORDERED].[All]" allUniqueName="[Open_Orders].[QTY_ORDERED].[All]" dimensionUniqueName="[Open_Orders]" displayFolder="" count="0" memberValueDatatype="20" unbalanced="0"/>
    <cacheHierarchy uniqueName="[Open_Orders].[QTY_SHIPPED]" caption="QTY_SHIPPED" attribute="1" defaultMemberUniqueName="[Open_Orders].[QTY_SHIPPED].[All]" allUniqueName="[Open_Orders].[QTY_SHIPPED].[All]" dimensionUniqueName="[Open_Orders]" displayFolder="" count="0" memberValueDatatype="20" unbalanced="0"/>
    <cacheHierarchy uniqueName="[Open_Orders].[Ship To Name]" caption="Ship To Name" attribute="1" defaultMemberUniqueName="[Open_Orders].[Ship To Name].[All]" allUniqueName="[Open_Orders].[Ship To Name].[All]" dimensionUniqueName="[Open_Orders]" displayFolder="" count="0" memberValueDatatype="130" unbalanced="0"/>
    <cacheHierarchy uniqueName="[Open_Orders].[SHIP_ID]" caption="SHIP_ID" attribute="1" defaultMemberUniqueName="[Open_Orders].[SHIP_ID].[All]" allUniqueName="[Open_Orders].[SHIP_ID].[All]" dimensionUniqueName="[Open_Orders]" displayFolder="" count="0" memberValueDatatype="130" unbalanced="0"/>
    <cacheHierarchy uniqueName="[Open_Orders].[Sold To Name]" caption="Sold To Name" attribute="1" defaultMemberUniqueName="[Open_Orders].[Sold To Name].[All]" allUniqueName="[Open_Orders].[Sold To Name].[All]" dimensionUniqueName="[Open_Orders]" displayFolder="" count="0" memberValueDatatype="130" unbalanced="0"/>
    <cacheHierarchy uniqueName="[Open_Orders].[STATE_SHIP]" caption="STATE_SHIP" attribute="1" defaultMemberUniqueName="[Open_Orders].[STATE_SHIP].[All]" allUniqueName="[Open_Orders].[STATE_SHIP].[All]" dimensionUniqueName="[Open_Orders]" displayFolder="" count="0" memberValueDatatype="130" unbalanced="0"/>
    <cacheHierarchy uniqueName="[Open_Orders].[USER_1]" caption="USER_1" attribute="1" defaultMemberUniqueName="[Open_Orders].[USER_1].[All]" allUniqueName="[Open_Orders].[USER_1].[All]" dimensionUniqueName="[Open_Orders]" displayFolder="" count="0" memberValueDatatype="130" unbalanced="0"/>
    <cacheHierarchy uniqueName="[Open_Orders].[USER_2]" caption="USER_2" attribute="1" defaultMemberUniqueName="[Open_Orders].[USER_2].[All]" allUniqueName="[Open_Orders].[USER_2].[All]" dimensionUniqueName="[Open_Orders]" displayFolder="" count="0" memberValueDatatype="130" unbalanced="0"/>
    <cacheHierarchy uniqueName="[Open_Orders].[USER_3]" caption="USER_3" attribute="1" defaultMemberUniqueName="[Open_Orders].[USER_3].[All]" allUniqueName="[Open_Orders].[USER_3].[All]" dimensionUniqueName="[Open_Orders]" displayFolder="" count="0" memberValueDatatype="130" unbalanced="0"/>
    <cacheHierarchy uniqueName="[Open_Orders].[USER_4]" caption="USER_4" attribute="1" defaultMemberUniqueName="[Open_Orders].[USER_4].[All]" allUniqueName="[Open_Orders].[USER_4].[All]" dimensionUniqueName="[Open_Orders]" displayFolder="" count="0" memberValueDatatype="130" unbalanced="0"/>
    <cacheHierarchy uniqueName="[Open_Orders].[USER_5]" caption="USER_5" attribute="1" defaultMemberUniqueName="[Open_Orders].[USER_5].[All]" allUniqueName="[Open_Orders].[USER_5].[All]" dimensionUniqueName="[Open_Orders]" displayFolder="" count="0" memberValueDatatype="130" unbalanced="0"/>
    <cacheHierarchy uniqueName="[Shipped_Orders].[Customer Name]" caption="Customer Name" attribute="1" defaultMemberUniqueName="[Shipped_Orders].[Customer Name].[All]" allUniqueName="[Shipped_Orders].[Customer Name].[All]" dimensionUniqueName="[Shipped_Orders]" displayFolder="" count="0" memberValueDatatype="130" unbalanced="0"/>
    <cacheHierarchy uniqueName="[Shipped_Orders].[Customer Number]" caption="Customer Number" attribute="1" defaultMemberUniqueName="[Shipped_Orders].[Customer Number].[All]" allUniqueName="[Shipped_Orders].[Customer Number].[All]" dimensionUniqueName="[Shipped_Orders]" displayFolder="" count="0" memberValueDatatype="130" unbalanced="0"/>
    <cacheHierarchy uniqueName="[Shipped_Orders].[Invoice Date]" caption="Invoice Date" attribute="1" time="1" defaultMemberUniqueName="[Shipped_Orders].[Invoice Date].[All]" allUniqueName="[Shipped_Orders].[Invoice Date].[All]" dimensionUniqueName="[Shipped_Orders]" displayFolder="" count="0" memberValueDatatype="7" unbalanced="0"/>
    <cacheHierarchy uniqueName="[Shipped_Orders].[Part]" caption="Part" attribute="1" defaultMemberUniqueName="[Shipped_Orders].[Part].[All]" allUniqueName="[Shipped_Orders].[Part].[All]" dimensionUniqueName="[Shipped_Orders]" displayFolder="" count="0" memberValueDatatype="130" unbalanced="0"/>
    <cacheHierarchy uniqueName="[Shipped_Orders].[Sales Order Number]" caption="Sales Order Number" attribute="1" defaultMemberUniqueName="[Shipped_Orders].[Sales Order Number].[All]" allUniqueName="[Shipped_Orders].[Sales Order Number].[All]" dimensionUniqueName="[Shipped_Orders]" displayFolder="" count="0" memberValueDatatype="130" unbalanced="0"/>
    <cacheHierarchy uniqueName="[Shipped_Orders].[Ship Date]" caption="Ship Date" attribute="1" time="1" defaultMemberUniqueName="[Shipped_Orders].[Ship Date].[All]" allUniqueName="[Shipped_Orders].[Ship Date].[All]" dimensionUniqueName="[Shipped_Orders]" displayFolder="" count="0" memberValueDatatype="7" unbalanced="0"/>
    <cacheHierarchy uniqueName="[Shipped_Orders].[Shipped Quantity]" caption="Shipped Quantity" attribute="1" defaultMemberUniqueName="[Shipped_Orders].[Shipped Quantity].[All]" allUniqueName="[Shipped_Orders].[Shipped Quantity].[All]" dimensionUniqueName="[Shipped_Orders]" displayFolder="" count="0" memberValueDatatype="20" unbalanced="0"/>
    <cacheHierarchy uniqueName="[Open_Orders].[DATE_ORDER (Month Index)]" caption="DATE_ORDER (Month Index)" attribute="1" defaultMemberUniqueName="[Open_Orders].[DATE_ORDER (Month Index)].[All]" allUniqueName="[Open_Orders].[DATE_ORDER (Month Index)].[All]" dimensionUniqueName="[Open_Orders]" displayFolder="" count="0" memberValueDatatype="20" unbalanced="0" hidden="1"/>
    <cacheHierarchy uniqueName="[Measures].[__XL_Count Shipped_Orders]" caption="__XL_Count Shipped_Orders" measure="1" displayFolder="" measureGroup="Shipped_Orders" count="0" hidden="1"/>
    <cacheHierarchy uniqueName="[Measures].[__XL_Count Open_Orders]" caption="__XL_Count Open_Orders" measure="1" displayFolder="" measureGroup="Open_Orders" count="0" hidden="1"/>
    <cacheHierarchy uniqueName="[Measures].[__No measures defined]" caption="__No measures defined" measure="1" displayFolder="" count="0" hidden="1"/>
    <cacheHierarchy uniqueName="[Measures].[Sum of QTY_ORDERED]" caption="Sum of QTY_ORDERED" measure="1" displayFolder="" measureGroup="Open_Order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Shipped Quantity]" caption="Sum of Shipped Quantity" measure="1" displayFolder="" measureGroup="Shipped_Order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</cacheHierarchies>
  <kpis count="0"/>
  <dimensions count="3">
    <dimension measure="1" name="Measures" uniqueName="[Measures]" caption="Measures"/>
    <dimension name="Open_Orders" uniqueName="[Open_Orders]" caption="Open_Orders"/>
    <dimension name="Shipped_Orders" uniqueName="[Shipped_Orders]" caption="Shipped_Orders"/>
  </dimensions>
  <measureGroups count="2">
    <measureGroup name="Open_Orders" caption="Open_Orders"/>
    <measureGroup name="Shipped_Orders" caption="Shipped_Orders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23" applyNumberFormats="0" applyBorderFormats="0" applyFontFormats="0" applyPatternFormats="0" applyAlignmentFormats="0" applyWidthHeightFormats="1" dataCaption="Values" tag="00201cb7-9ee2-4db4-b6f7-4f9f76a906b8" updatedVersion="6" minRefreshableVersion="3" useAutoFormatting="1" itemPrintTitles="1" createdVersion="5" indent="0" outline="1" outlineData="1" multipleFieldFilters="0">
  <location ref="B3:C11" firstHeaderRow="1" firstDataRow="1" firstDataCol="1"/>
  <pivotFields count="2"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QTY_ORDERED" fld="1" baseField="0" baseItem="0"/>
  </dataField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pen_Orders]"/>
        <x15:activeTabTopLevelEntity name="[Shipped_Order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Shipped_Orders" displayName="Shipped_Orders" ref="A1:G338" totalsRowShown="0">
  <autoFilter ref="A1:G338"/>
  <sortState ref="A2:F174">
    <sortCondition ref="D1:D338"/>
  </sortState>
  <tableColumns count="7">
    <tableColumn id="1" name="Customer Number"/>
    <tableColumn id="2" name="Invoice Date" dataDxfId="4"/>
    <tableColumn id="3" name="Shipped Quantity"/>
    <tableColumn id="4" name="Ship Date" dataDxfId="3"/>
    <tableColumn id="5" name="Sales Order Number"/>
    <tableColumn id="6" name="Customer Name"/>
    <tableColumn id="7" name="Part" dataDxfId="2">
      <calculatedColumnFormula>"MC205-CNE-9-808"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Open_Orders" displayName="Open_Orders" ref="A1:Y11" totalsRowShown="0">
  <autoFilter ref="A1:Y11"/>
  <tableColumns count="25">
    <tableColumn id="1" name="SHIP_ID"/>
    <tableColumn id="2" name="Cust Ship"/>
    <tableColumn id="3" name="Sold To Name"/>
    <tableColumn id="4" name="Ship To Name"/>
    <tableColumn id="5" name="CITY_SHIP"/>
    <tableColumn id="6" name="STATE_SHIP"/>
    <tableColumn id="7" name="QTY_ORDERED"/>
    <tableColumn id="8" name="QTY_SHIPPED"/>
    <tableColumn id="9" name="QTY_BO"/>
    <tableColumn id="10" name="PART"/>
    <tableColumn id="11" name="DESCRIPTION"/>
    <tableColumn id="12" name="PRICE"/>
    <tableColumn id="13" name="EXTENSION"/>
    <tableColumn id="14" name="DATE_ORDER" dataDxfId="1"/>
    <tableColumn id="15" name="MUST_DLVR_BY_DATE" dataDxfId="0"/>
    <tableColumn id="16" name="PRODUCT_LINE"/>
    <tableColumn id="17" name="ORDER_NO2"/>
    <tableColumn id="18" name="USER_1"/>
    <tableColumn id="19" name="USER_2"/>
    <tableColumn id="20" name="USER_3"/>
    <tableColumn id="21" name="USER_4"/>
    <tableColumn id="22" name="USER_5"/>
    <tableColumn id="23" name="DATE_ITEM_PROM"/>
    <tableColumn id="24" name="MUST_DLVR_BY_DATE2"/>
    <tableColumn id="25" name="Days La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C11"/>
  <sheetViews>
    <sheetView workbookViewId="0">
      <selection activeCell="B3" sqref="B3"/>
    </sheetView>
  </sheetViews>
  <sheetFormatPr defaultRowHeight="14.25" x14ac:dyDescent="0.45"/>
  <cols>
    <col min="2" max="2" width="12.06640625" bestFit="1" customWidth="1"/>
    <col min="3" max="3" width="19" bestFit="1" customWidth="1"/>
    <col min="4" max="4" width="21.3984375" bestFit="1" customWidth="1"/>
    <col min="5" max="5" width="3.53125" bestFit="1" customWidth="1"/>
    <col min="6" max="6" width="10.19921875" bestFit="1" customWidth="1"/>
    <col min="7" max="7" width="9.33203125" bestFit="1" customWidth="1"/>
    <col min="8" max="8" width="8.796875" bestFit="1" customWidth="1"/>
    <col min="9" max="11" width="9.33203125" bestFit="1" customWidth="1"/>
    <col min="12" max="12" width="8.06640625" bestFit="1" customWidth="1"/>
    <col min="13" max="13" width="10.19921875" bestFit="1" customWidth="1"/>
  </cols>
  <sheetData>
    <row r="3" spans="2:3" x14ac:dyDescent="0.45">
      <c r="B3" s="2" t="s">
        <v>423</v>
      </c>
      <c r="C3" t="s">
        <v>425</v>
      </c>
    </row>
    <row r="4" spans="2:3" x14ac:dyDescent="0.45">
      <c r="B4" s="5">
        <v>43119</v>
      </c>
      <c r="C4" s="4">
        <v>25</v>
      </c>
    </row>
    <row r="5" spans="2:3" x14ac:dyDescent="0.45">
      <c r="B5" s="5">
        <v>43122</v>
      </c>
      <c r="C5" s="4">
        <v>25</v>
      </c>
    </row>
    <row r="6" spans="2:3" x14ac:dyDescent="0.45">
      <c r="B6" s="5">
        <v>43234</v>
      </c>
      <c r="C6" s="4">
        <v>40</v>
      </c>
    </row>
    <row r="7" spans="2:3" x14ac:dyDescent="0.45">
      <c r="B7" s="5">
        <v>43245</v>
      </c>
      <c r="C7" s="4">
        <v>100</v>
      </c>
    </row>
    <row r="8" spans="2:3" x14ac:dyDescent="0.45">
      <c r="B8" s="5">
        <v>43263</v>
      </c>
      <c r="C8" s="4">
        <v>55</v>
      </c>
    </row>
    <row r="9" spans="2:3" x14ac:dyDescent="0.45">
      <c r="B9" s="5">
        <v>43264</v>
      </c>
      <c r="C9" s="4">
        <v>20</v>
      </c>
    </row>
    <row r="10" spans="2:3" x14ac:dyDescent="0.45">
      <c r="B10" s="5">
        <v>43276</v>
      </c>
      <c r="C10" s="4">
        <v>6</v>
      </c>
    </row>
    <row r="11" spans="2:3" x14ac:dyDescent="0.45">
      <c r="B11" s="3" t="s">
        <v>424</v>
      </c>
      <c r="C11" s="4">
        <v>271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0"/>
  <sheetViews>
    <sheetView tabSelected="1" workbookViewId="0">
      <pane ySplit="1" topLeftCell="A2" activePane="bottomLeft" state="frozen"/>
      <selection pane="bottomLeft" activeCell="K29" sqref="K29"/>
    </sheetView>
  </sheetViews>
  <sheetFormatPr defaultRowHeight="14.25" x14ac:dyDescent="0.45"/>
  <cols>
    <col min="1" max="1" width="8.86328125" bestFit="1" customWidth="1"/>
    <col min="2" max="5" width="8.73046875" bestFit="1" customWidth="1"/>
    <col min="6" max="6" width="12.1328125" bestFit="1" customWidth="1"/>
    <col min="7" max="7" width="13.19921875" bestFit="1" customWidth="1"/>
    <col min="10" max="10" width="11.73046875" bestFit="1" customWidth="1"/>
    <col min="11" max="11" width="11.1328125" bestFit="1" customWidth="1"/>
  </cols>
  <sheetData>
    <row r="1" spans="1:9" x14ac:dyDescent="0.45">
      <c r="A1" t="s">
        <v>426</v>
      </c>
      <c r="B1" t="s">
        <v>427</v>
      </c>
      <c r="C1" t="s">
        <v>428</v>
      </c>
      <c r="D1" t="s">
        <v>429</v>
      </c>
      <c r="E1" t="s">
        <v>430</v>
      </c>
      <c r="F1" t="s">
        <v>431</v>
      </c>
      <c r="G1" t="s">
        <v>432</v>
      </c>
      <c r="H1" t="s">
        <v>433</v>
      </c>
    </row>
    <row r="2" spans="1:9" x14ac:dyDescent="0.45">
      <c r="A2" s="6">
        <v>43132</v>
      </c>
      <c r="B2">
        <v>0.51591200000000004</v>
      </c>
      <c r="C2">
        <v>0.53532199999999996</v>
      </c>
      <c r="D2">
        <v>0.41204499999999999</v>
      </c>
      <c r="E2">
        <v>0.42167199999999999</v>
      </c>
      <c r="F2" s="7">
        <v>595624000</v>
      </c>
      <c r="G2" s="7">
        <v>13376100000</v>
      </c>
      <c r="I2">
        <f t="shared" ref="I2:I49" si="0">109960.92*B2</f>
        <v>56730.158159040002</v>
      </c>
    </row>
    <row r="3" spans="1:9" x14ac:dyDescent="0.45">
      <c r="A3" s="6">
        <v>43131</v>
      </c>
      <c r="B3">
        <v>0.52759800000000001</v>
      </c>
      <c r="C3">
        <v>0.55025199999999996</v>
      </c>
      <c r="D3">
        <v>0.47133700000000001</v>
      </c>
      <c r="E3">
        <v>0.51931499999999997</v>
      </c>
      <c r="F3" s="7">
        <v>505904000</v>
      </c>
      <c r="G3" s="7">
        <v>13679100000</v>
      </c>
      <c r="I3">
        <f t="shared" si="0"/>
        <v>58015.161470159997</v>
      </c>
    </row>
    <row r="4" spans="1:9" x14ac:dyDescent="0.45">
      <c r="A4" s="6">
        <v>43130</v>
      </c>
      <c r="B4">
        <v>0.62479899999999999</v>
      </c>
      <c r="C4">
        <v>0.62479899999999999</v>
      </c>
      <c r="D4">
        <v>0.52341800000000005</v>
      </c>
      <c r="E4">
        <v>0.53191299999999997</v>
      </c>
      <c r="F4" s="7">
        <v>359622000</v>
      </c>
      <c r="G4" s="7">
        <v>16199200000</v>
      </c>
      <c r="I4">
        <f t="shared" si="0"/>
        <v>68703.472855079992</v>
      </c>
    </row>
    <row r="5" spans="1:9" x14ac:dyDescent="0.45">
      <c r="A5" s="6">
        <v>43129</v>
      </c>
      <c r="B5">
        <v>0.669373</v>
      </c>
      <c r="C5">
        <v>0.669373</v>
      </c>
      <c r="D5">
        <v>0.62075999999999998</v>
      </c>
      <c r="E5">
        <v>0.62320399999999998</v>
      </c>
      <c r="F5" s="7">
        <v>238318000</v>
      </c>
      <c r="G5" s="7">
        <v>17354900000</v>
      </c>
      <c r="I5">
        <f t="shared" si="0"/>
        <v>73604.870903160001</v>
      </c>
    </row>
    <row r="6" spans="1:9" x14ac:dyDescent="0.45">
      <c r="A6" s="6">
        <v>43128</v>
      </c>
      <c r="B6">
        <v>0.62056</v>
      </c>
      <c r="C6">
        <v>0.68194600000000005</v>
      </c>
      <c r="D6">
        <v>0.62056</v>
      </c>
      <c r="E6">
        <v>0.67028600000000005</v>
      </c>
      <c r="F6" s="7">
        <v>325146000</v>
      </c>
      <c r="G6" s="7">
        <v>16089300000</v>
      </c>
      <c r="I6">
        <f t="shared" si="0"/>
        <v>68237.348515199992</v>
      </c>
    </row>
    <row r="7" spans="1:9" x14ac:dyDescent="0.45">
      <c r="A7" s="6">
        <v>43127</v>
      </c>
      <c r="B7">
        <v>0.62347699999999995</v>
      </c>
      <c r="C7">
        <v>0.63295599999999996</v>
      </c>
      <c r="D7">
        <v>0.59526900000000005</v>
      </c>
      <c r="E7">
        <v>0.61683299999999996</v>
      </c>
      <c r="F7" s="7">
        <v>331309000</v>
      </c>
      <c r="G7" s="7">
        <v>16164900000</v>
      </c>
      <c r="H7">
        <f t="shared" ref="H7:H48" si="1">B7/B8</f>
        <v>0.98355268866056789</v>
      </c>
      <c r="I7">
        <f t="shared" si="0"/>
        <v>68558.104518839988</v>
      </c>
    </row>
    <row r="8" spans="1:9" x14ac:dyDescent="0.45">
      <c r="A8" s="6">
        <v>43126</v>
      </c>
      <c r="B8">
        <v>0.63390299999999999</v>
      </c>
      <c r="C8">
        <v>0.65284799999999998</v>
      </c>
      <c r="D8">
        <v>0.566218</v>
      </c>
      <c r="E8">
        <v>0.62338199999999999</v>
      </c>
      <c r="F8" s="7">
        <v>810062000</v>
      </c>
      <c r="G8" s="7">
        <v>16435300000</v>
      </c>
      <c r="H8">
        <f t="shared" si="1"/>
        <v>1.00725525433909</v>
      </c>
      <c r="I8">
        <f t="shared" si="0"/>
        <v>69704.557070759998</v>
      </c>
    </row>
    <row r="9" spans="1:9" x14ac:dyDescent="0.45">
      <c r="A9" s="6">
        <v>43125</v>
      </c>
      <c r="B9">
        <v>0.62933700000000004</v>
      </c>
      <c r="C9">
        <v>0.68302300000000005</v>
      </c>
      <c r="D9">
        <v>0.62156</v>
      </c>
      <c r="E9">
        <v>0.63749500000000003</v>
      </c>
      <c r="F9" s="7">
        <v>654814000</v>
      </c>
      <c r="G9" s="7">
        <v>16316900000</v>
      </c>
      <c r="H9">
        <f t="shared" si="1"/>
        <v>1.1170955448382853</v>
      </c>
      <c r="I9">
        <f t="shared" si="0"/>
        <v>69202.475510040007</v>
      </c>
    </row>
    <row r="10" spans="1:9" x14ac:dyDescent="0.45">
      <c r="A10" s="6">
        <v>43124</v>
      </c>
      <c r="B10">
        <v>0.56336900000000001</v>
      </c>
      <c r="C10">
        <v>0.63600900000000005</v>
      </c>
      <c r="D10">
        <v>0.54475300000000004</v>
      </c>
      <c r="E10">
        <v>0.62220799999999998</v>
      </c>
      <c r="F10" s="7">
        <v>689838000</v>
      </c>
      <c r="G10" s="7">
        <v>14606500000</v>
      </c>
      <c r="H10">
        <f t="shared" si="1"/>
        <v>0.9944081322137831</v>
      </c>
      <c r="I10">
        <f t="shared" si="0"/>
        <v>61948.573539479999</v>
      </c>
    </row>
    <row r="11" spans="1:9" x14ac:dyDescent="0.45">
      <c r="A11" s="6">
        <v>43123</v>
      </c>
      <c r="B11">
        <v>0.56653699999999996</v>
      </c>
      <c r="C11">
        <v>0.59223099999999995</v>
      </c>
      <c r="D11">
        <v>0.52001299999999995</v>
      </c>
      <c r="E11">
        <v>0.56306999999999996</v>
      </c>
      <c r="F11" s="7">
        <v>375958000</v>
      </c>
      <c r="G11" s="7">
        <v>14688600000</v>
      </c>
      <c r="H11">
        <f t="shared" si="1"/>
        <v>0.92122383870773661</v>
      </c>
      <c r="I11">
        <f t="shared" si="0"/>
        <v>62296.929734039993</v>
      </c>
    </row>
    <row r="12" spans="1:9" x14ac:dyDescent="0.45">
      <c r="A12" s="6">
        <v>43122</v>
      </c>
      <c r="B12">
        <v>0.61498299999999995</v>
      </c>
      <c r="C12">
        <v>0.63148499999999996</v>
      </c>
      <c r="D12">
        <v>0.52188900000000005</v>
      </c>
      <c r="E12">
        <v>0.57045800000000002</v>
      </c>
      <c r="F12" s="7">
        <v>522984000</v>
      </c>
      <c r="G12" s="7">
        <v>15944700000</v>
      </c>
      <c r="H12">
        <f t="shared" si="1"/>
        <v>0.87059857784145034</v>
      </c>
      <c r="I12">
        <f t="shared" si="0"/>
        <v>67624.096464359987</v>
      </c>
    </row>
    <row r="13" spans="1:9" x14ac:dyDescent="0.45">
      <c r="A13" s="6">
        <v>43121</v>
      </c>
      <c r="B13">
        <v>0.70639099999999999</v>
      </c>
      <c r="C13">
        <v>0.70639099999999999</v>
      </c>
      <c r="D13">
        <v>0.59079300000000001</v>
      </c>
      <c r="E13">
        <v>0.61316300000000001</v>
      </c>
      <c r="F13" s="7">
        <v>847731000</v>
      </c>
      <c r="G13" s="7">
        <v>18314600000</v>
      </c>
      <c r="H13">
        <f t="shared" si="1"/>
        <v>1.0758905453238374</v>
      </c>
      <c r="I13">
        <f t="shared" si="0"/>
        <v>77675.404239719996</v>
      </c>
    </row>
    <row r="14" spans="1:9" x14ac:dyDescent="0.45">
      <c r="A14" s="6">
        <v>43120</v>
      </c>
      <c r="B14">
        <v>0.65656400000000004</v>
      </c>
      <c r="C14">
        <v>0.72624200000000005</v>
      </c>
      <c r="D14">
        <v>0.647644</v>
      </c>
      <c r="E14">
        <v>0.70750999999999997</v>
      </c>
      <c r="F14" s="7">
        <v>738799000</v>
      </c>
      <c r="G14" s="7">
        <v>17022800000</v>
      </c>
      <c r="H14">
        <f t="shared" si="1"/>
        <v>1.0108075819344033</v>
      </c>
      <c r="I14">
        <f t="shared" si="0"/>
        <v>72196.381478880008</v>
      </c>
    </row>
    <row r="15" spans="1:9" x14ac:dyDescent="0.45">
      <c r="A15" s="6">
        <v>43119</v>
      </c>
      <c r="B15">
        <v>0.64954400000000001</v>
      </c>
      <c r="C15">
        <v>0.68852000000000002</v>
      </c>
      <c r="D15">
        <v>0.61593600000000004</v>
      </c>
      <c r="E15">
        <v>0.65049800000000002</v>
      </c>
      <c r="F15" s="7">
        <v>584574000</v>
      </c>
      <c r="G15" s="7">
        <v>16840800000</v>
      </c>
      <c r="H15">
        <f t="shared" si="1"/>
        <v>1.0289072462161113</v>
      </c>
      <c r="I15">
        <f t="shared" si="0"/>
        <v>71424.455820479998</v>
      </c>
    </row>
    <row r="16" spans="1:9" x14ac:dyDescent="0.45">
      <c r="A16" s="8">
        <v>43118</v>
      </c>
      <c r="B16" s="9">
        <v>0.63129500000000005</v>
      </c>
      <c r="C16" s="9">
        <v>0.71100799999999997</v>
      </c>
      <c r="D16" s="9">
        <v>0.59152800000000005</v>
      </c>
      <c r="E16" s="9">
        <v>0.65984299999999996</v>
      </c>
      <c r="F16" s="10">
        <v>1285490000</v>
      </c>
      <c r="G16" s="10">
        <v>16367600000</v>
      </c>
      <c r="H16">
        <f t="shared" si="1"/>
        <v>1.0114913246267163</v>
      </c>
      <c r="I16">
        <f t="shared" si="0"/>
        <v>69417.778991400002</v>
      </c>
    </row>
    <row r="17" spans="1:11" x14ac:dyDescent="0.45">
      <c r="A17" s="6">
        <v>43117</v>
      </c>
      <c r="B17" s="14">
        <v>0.62412299999999998</v>
      </c>
      <c r="C17">
        <v>0.67851700000000004</v>
      </c>
      <c r="D17">
        <v>0.44062000000000001</v>
      </c>
      <c r="E17">
        <v>0.62910200000000005</v>
      </c>
      <c r="F17" s="7">
        <v>1713770000</v>
      </c>
      <c r="G17" s="7">
        <v>16181700000</v>
      </c>
      <c r="H17">
        <f t="shared" si="1"/>
        <v>0.79952115046866534</v>
      </c>
      <c r="I17">
        <f t="shared" si="0"/>
        <v>68629.139273159992</v>
      </c>
    </row>
    <row r="18" spans="1:11" x14ac:dyDescent="0.45">
      <c r="A18" s="6">
        <v>43116</v>
      </c>
      <c r="B18" s="14">
        <v>0.78062100000000001</v>
      </c>
      <c r="C18">
        <v>0.78062100000000001</v>
      </c>
      <c r="D18">
        <v>0.47994399999999998</v>
      </c>
      <c r="E18">
        <v>0.62649299999999997</v>
      </c>
      <c r="F18" s="7">
        <v>1632650000</v>
      </c>
      <c r="G18" s="7">
        <v>20239200000</v>
      </c>
      <c r="H18">
        <f t="shared" si="1"/>
        <v>0.98097418697322436</v>
      </c>
      <c r="I18">
        <f t="shared" si="0"/>
        <v>85837.803331319999</v>
      </c>
    </row>
    <row r="19" spans="1:11" x14ac:dyDescent="0.45">
      <c r="A19" s="6">
        <v>43115</v>
      </c>
      <c r="B19" s="14">
        <v>0.79576100000000005</v>
      </c>
      <c r="C19">
        <v>0.88450600000000001</v>
      </c>
      <c r="D19">
        <v>0.77741300000000002</v>
      </c>
      <c r="E19">
        <v>0.77858700000000003</v>
      </c>
      <c r="F19" s="7">
        <v>972993000</v>
      </c>
      <c r="G19" s="7">
        <v>20631800000</v>
      </c>
      <c r="H19">
        <f t="shared" si="1"/>
        <v>0.90226325200320656</v>
      </c>
      <c r="I19">
        <f t="shared" si="0"/>
        <v>87502.611660120005</v>
      </c>
    </row>
    <row r="20" spans="1:11" x14ac:dyDescent="0.45">
      <c r="A20" s="6">
        <v>43114</v>
      </c>
      <c r="B20" s="14">
        <v>0.88196099999999999</v>
      </c>
      <c r="C20">
        <v>0.88196099999999999</v>
      </c>
      <c r="D20">
        <v>0.74951400000000001</v>
      </c>
      <c r="E20">
        <v>0.80226200000000003</v>
      </c>
      <c r="F20" s="7">
        <v>160712000</v>
      </c>
      <c r="G20" s="7">
        <v>22866700000</v>
      </c>
      <c r="H20">
        <f t="shared" si="1"/>
        <v>0.96135969740901017</v>
      </c>
      <c r="I20">
        <f t="shared" si="0"/>
        <v>96981.24296412</v>
      </c>
    </row>
    <row r="21" spans="1:11" x14ac:dyDescent="0.45">
      <c r="A21" s="6">
        <v>43113</v>
      </c>
      <c r="B21" s="11">
        <v>0.91740999999999995</v>
      </c>
      <c r="C21">
        <v>0.96932499999999999</v>
      </c>
      <c r="D21">
        <v>0.83648599999999995</v>
      </c>
      <c r="E21">
        <v>0.88412400000000002</v>
      </c>
      <c r="F21" s="7">
        <v>313215000</v>
      </c>
      <c r="G21" s="7">
        <v>23785800000</v>
      </c>
      <c r="H21">
        <f t="shared" si="1"/>
        <v>1.3185554400957789</v>
      </c>
      <c r="I21">
        <f t="shared" si="0"/>
        <v>100879.24761719999</v>
      </c>
    </row>
    <row r="22" spans="1:11" x14ac:dyDescent="0.45">
      <c r="A22" s="6">
        <v>43112</v>
      </c>
      <c r="B22" s="14">
        <v>0.69576899999999997</v>
      </c>
      <c r="C22">
        <v>0.93226900000000001</v>
      </c>
      <c r="D22">
        <v>0.65996699999999997</v>
      </c>
      <c r="E22">
        <v>0.89750799999999997</v>
      </c>
      <c r="F22" s="7">
        <v>365795000</v>
      </c>
      <c r="G22" s="7">
        <v>18039200000</v>
      </c>
      <c r="H22">
        <f t="shared" si="1"/>
        <v>0.87902673583299018</v>
      </c>
      <c r="I22">
        <f t="shared" si="0"/>
        <v>76507.399347479994</v>
      </c>
    </row>
    <row r="23" spans="1:11" x14ac:dyDescent="0.45">
      <c r="A23" s="6">
        <v>43111</v>
      </c>
      <c r="B23" s="14">
        <v>0.79152199999999995</v>
      </c>
      <c r="C23">
        <v>0.79152199999999995</v>
      </c>
      <c r="D23">
        <v>0.57250000000000001</v>
      </c>
      <c r="E23">
        <v>0.68841200000000002</v>
      </c>
      <c r="F23" s="7">
        <v>229001000</v>
      </c>
      <c r="G23" s="7">
        <v>20521800000</v>
      </c>
      <c r="H23">
        <f t="shared" si="1"/>
        <v>0.97015463209915265</v>
      </c>
      <c r="I23">
        <f t="shared" si="0"/>
        <v>87036.48732023999</v>
      </c>
    </row>
    <row r="24" spans="1:11" x14ac:dyDescent="0.45">
      <c r="A24" s="6">
        <v>43110</v>
      </c>
      <c r="B24" s="14">
        <v>0.81587200000000004</v>
      </c>
      <c r="C24">
        <v>0.81625199999999998</v>
      </c>
      <c r="D24">
        <v>0.67683499999999996</v>
      </c>
      <c r="E24">
        <v>0.79312099999999996</v>
      </c>
      <c r="F24" s="7">
        <v>236472000</v>
      </c>
      <c r="G24" s="7">
        <v>21153200000</v>
      </c>
      <c r="H24">
        <f t="shared" si="1"/>
        <v>0.90835629630866699</v>
      </c>
      <c r="I24">
        <f t="shared" si="0"/>
        <v>89714.035722240005</v>
      </c>
    </row>
    <row r="25" spans="1:11" x14ac:dyDescent="0.45">
      <c r="A25" s="6">
        <v>43109</v>
      </c>
      <c r="B25" s="14">
        <v>0.89818500000000001</v>
      </c>
      <c r="C25">
        <v>0.91943600000000003</v>
      </c>
      <c r="D25">
        <v>0.79617700000000002</v>
      </c>
      <c r="E25">
        <v>0.81474299999999999</v>
      </c>
      <c r="F25" s="7">
        <v>209492000</v>
      </c>
      <c r="G25" s="7">
        <v>23287300000</v>
      </c>
      <c r="H25">
        <f t="shared" si="1"/>
        <v>0.898788086806247</v>
      </c>
      <c r="I25">
        <f t="shared" si="0"/>
        <v>98765.248930200003</v>
      </c>
    </row>
    <row r="26" spans="1:11" x14ac:dyDescent="0.45">
      <c r="A26" s="6">
        <v>43108</v>
      </c>
      <c r="B26" s="14">
        <v>0.99932900000000002</v>
      </c>
      <c r="C26">
        <v>0.99932900000000002</v>
      </c>
      <c r="D26">
        <v>0.76432800000000001</v>
      </c>
      <c r="E26">
        <v>0.89900199999999997</v>
      </c>
      <c r="F26" s="7">
        <v>264461000</v>
      </c>
      <c r="G26" s="7">
        <v>25909700000</v>
      </c>
      <c r="H26">
        <f t="shared" si="1"/>
        <v>0.97973431372549025</v>
      </c>
      <c r="I26">
        <f t="shared" si="0"/>
        <v>109887.13622268</v>
      </c>
    </row>
    <row r="27" spans="1:11" x14ac:dyDescent="0.45">
      <c r="A27" s="6">
        <v>43107</v>
      </c>
      <c r="B27" s="13">
        <v>1.02</v>
      </c>
      <c r="C27">
        <v>1.04</v>
      </c>
      <c r="D27">
        <v>0.99139100000000002</v>
      </c>
      <c r="E27">
        <v>1.01</v>
      </c>
      <c r="F27" s="7">
        <v>226067000</v>
      </c>
      <c r="G27" s="7">
        <v>26553200000</v>
      </c>
      <c r="H27">
        <f t="shared" si="1"/>
        <v>1.0230692076228687</v>
      </c>
      <c r="I27">
        <f t="shared" si="0"/>
        <v>112160.1384</v>
      </c>
    </row>
    <row r="28" spans="1:11" x14ac:dyDescent="0.45">
      <c r="A28" s="6">
        <v>43106</v>
      </c>
      <c r="B28" s="11">
        <v>0.997</v>
      </c>
      <c r="C28">
        <v>1.05</v>
      </c>
      <c r="D28">
        <v>0.92918299999999998</v>
      </c>
      <c r="E28">
        <v>1.03</v>
      </c>
      <c r="F28" s="7">
        <v>297615000</v>
      </c>
      <c r="G28" s="7">
        <v>25849300000</v>
      </c>
      <c r="H28">
        <f t="shared" si="1"/>
        <v>0.85213675213675222</v>
      </c>
      <c r="I28">
        <f t="shared" si="0"/>
        <v>109631.03724000001</v>
      </c>
    </row>
    <row r="29" spans="1:11" x14ac:dyDescent="0.45">
      <c r="A29" s="8">
        <v>43105</v>
      </c>
      <c r="B29" s="15">
        <v>1.17</v>
      </c>
      <c r="C29" s="9">
        <v>1.25</v>
      </c>
      <c r="D29" s="9">
        <v>0.90350299999999995</v>
      </c>
      <c r="E29" s="9">
        <v>0.99955899999999998</v>
      </c>
      <c r="F29" s="10">
        <v>508100000</v>
      </c>
      <c r="G29" s="10">
        <v>30364400000</v>
      </c>
      <c r="H29">
        <f t="shared" si="1"/>
        <v>1.0733944954128438</v>
      </c>
      <c r="I29">
        <f t="shared" si="0"/>
        <v>128654.27639999999</v>
      </c>
      <c r="J29">
        <f>128654-21500</f>
        <v>107154</v>
      </c>
      <c r="K29" s="16">
        <f>(J29/0.17)*2.5</f>
        <v>1575794.1176470588</v>
      </c>
    </row>
    <row r="30" spans="1:11" x14ac:dyDescent="0.45">
      <c r="A30" s="6">
        <v>43104</v>
      </c>
      <c r="B30" s="12">
        <v>1.0900000000000001</v>
      </c>
      <c r="C30">
        <v>1.33</v>
      </c>
      <c r="D30">
        <v>1.04</v>
      </c>
      <c r="E30">
        <v>1.1100000000000001</v>
      </c>
      <c r="F30" s="7">
        <v>593430000</v>
      </c>
      <c r="G30" s="7">
        <v>28364900000</v>
      </c>
      <c r="H30">
        <f t="shared" si="1"/>
        <v>1.398007646717055</v>
      </c>
      <c r="I30">
        <f t="shared" si="0"/>
        <v>119857.40280000001</v>
      </c>
    </row>
    <row r="31" spans="1:11" x14ac:dyDescent="0.45">
      <c r="A31" s="6">
        <v>43103</v>
      </c>
      <c r="B31" s="12">
        <v>0.77968099999999996</v>
      </c>
      <c r="C31">
        <v>1.0900000000000001</v>
      </c>
      <c r="D31">
        <v>0.77857799999999999</v>
      </c>
      <c r="E31">
        <v>1.08</v>
      </c>
      <c r="F31" s="7">
        <v>657398000</v>
      </c>
      <c r="G31" s="7">
        <v>20214800000</v>
      </c>
      <c r="H31">
        <f t="shared" si="1"/>
        <v>1.0759028862553748</v>
      </c>
      <c r="I31">
        <f t="shared" si="0"/>
        <v>85734.440066519994</v>
      </c>
    </row>
    <row r="32" spans="1:11" x14ac:dyDescent="0.45">
      <c r="A32" s="6">
        <v>43102</v>
      </c>
      <c r="B32" s="12">
        <v>0.72467599999999999</v>
      </c>
      <c r="C32">
        <v>0.79464599999999996</v>
      </c>
      <c r="D32">
        <v>0.69785600000000003</v>
      </c>
      <c r="E32">
        <v>0.78258700000000003</v>
      </c>
      <c r="F32" s="7">
        <v>289712000</v>
      </c>
      <c r="G32" s="7">
        <v>18788700000</v>
      </c>
      <c r="H32">
        <f t="shared" si="1"/>
        <v>1.0081088187055103</v>
      </c>
      <c r="I32">
        <f t="shared" si="0"/>
        <v>79686.039661920004</v>
      </c>
    </row>
    <row r="33" spans="1:9" x14ac:dyDescent="0.45">
      <c r="A33" s="6">
        <v>43101</v>
      </c>
      <c r="B33" s="12">
        <v>0.71884700000000001</v>
      </c>
      <c r="C33">
        <v>0.73005100000000001</v>
      </c>
      <c r="D33">
        <v>0.67194100000000001</v>
      </c>
      <c r="E33">
        <v>0.728657</v>
      </c>
      <c r="F33" s="7">
        <v>150186000</v>
      </c>
      <c r="G33" s="7">
        <v>18637600000</v>
      </c>
      <c r="H33">
        <f t="shared" si="1"/>
        <v>1.1186869826527708</v>
      </c>
      <c r="I33">
        <f t="shared" si="0"/>
        <v>79045.077459239998</v>
      </c>
    </row>
    <row r="34" spans="1:9" x14ac:dyDescent="0.45">
      <c r="A34" s="8">
        <v>43100</v>
      </c>
      <c r="B34" s="15">
        <v>0.64258099999999996</v>
      </c>
      <c r="C34" s="9">
        <v>0.75444599999999995</v>
      </c>
      <c r="D34" s="9">
        <v>0.64229700000000001</v>
      </c>
      <c r="E34" s="9">
        <v>0.71969499999999997</v>
      </c>
      <c r="F34" s="10">
        <v>305947000</v>
      </c>
      <c r="G34" s="10">
        <v>16660300000</v>
      </c>
      <c r="H34">
        <f t="shared" si="1"/>
        <v>1.2162815436216203</v>
      </c>
      <c r="I34">
        <f t="shared" si="0"/>
        <v>70658.79793452</v>
      </c>
    </row>
    <row r="35" spans="1:9" x14ac:dyDescent="0.45">
      <c r="A35" s="6">
        <v>43099</v>
      </c>
      <c r="B35" s="12">
        <v>0.52831600000000001</v>
      </c>
      <c r="C35">
        <v>0.77738499999999999</v>
      </c>
      <c r="D35">
        <v>0.47155599999999998</v>
      </c>
      <c r="E35">
        <v>0.63924300000000001</v>
      </c>
      <c r="F35" s="7">
        <v>645156000</v>
      </c>
      <c r="G35" s="7">
        <v>13697700000</v>
      </c>
      <c r="H35">
        <f t="shared" si="1"/>
        <v>1.2871409185371427</v>
      </c>
      <c r="I35">
        <f t="shared" si="0"/>
        <v>58094.113410719998</v>
      </c>
    </row>
    <row r="36" spans="1:9" x14ac:dyDescent="0.45">
      <c r="A36" s="6">
        <v>43098</v>
      </c>
      <c r="B36" s="12">
        <v>0.41045700000000002</v>
      </c>
      <c r="C36">
        <v>0.55687900000000001</v>
      </c>
      <c r="D36">
        <v>0.403945</v>
      </c>
      <c r="E36">
        <v>0.52929899999999996</v>
      </c>
      <c r="F36" s="7">
        <v>266403000</v>
      </c>
      <c r="G36" s="7">
        <v>10642000000</v>
      </c>
      <c r="H36">
        <f t="shared" si="1"/>
        <v>0.99620649483034807</v>
      </c>
      <c r="I36">
        <f t="shared" si="0"/>
        <v>45134.229340440004</v>
      </c>
    </row>
    <row r="37" spans="1:9" x14ac:dyDescent="0.45">
      <c r="A37" s="6">
        <v>43097</v>
      </c>
      <c r="B37" s="11">
        <v>0.41202</v>
      </c>
      <c r="C37">
        <v>0.41893399999999997</v>
      </c>
      <c r="D37">
        <v>0.36788700000000002</v>
      </c>
      <c r="E37">
        <v>0.40770099999999998</v>
      </c>
      <c r="F37" s="7">
        <v>82263800</v>
      </c>
      <c r="G37" s="7">
        <v>10682500000</v>
      </c>
      <c r="H37">
        <f t="shared" si="1"/>
        <v>0.96467629891338702</v>
      </c>
      <c r="I37">
        <f t="shared" si="0"/>
        <v>45306.098258400001</v>
      </c>
    </row>
    <row r="38" spans="1:9" x14ac:dyDescent="0.45">
      <c r="A38" s="6">
        <v>43096</v>
      </c>
      <c r="B38" s="12">
        <v>0.42710700000000001</v>
      </c>
      <c r="C38">
        <v>0.43082700000000002</v>
      </c>
      <c r="D38">
        <v>0.40109800000000001</v>
      </c>
      <c r="E38">
        <v>0.41417599999999999</v>
      </c>
      <c r="F38" s="7">
        <v>82067500</v>
      </c>
      <c r="G38" s="7">
        <v>11073600000</v>
      </c>
      <c r="H38">
        <f t="shared" si="1"/>
        <v>1.0327245734126744</v>
      </c>
      <c r="I38">
        <f t="shared" si="0"/>
        <v>46965.078658439998</v>
      </c>
    </row>
    <row r="39" spans="1:9" x14ac:dyDescent="0.45">
      <c r="A39" s="6">
        <v>43095</v>
      </c>
      <c r="B39" s="12">
        <v>0.41357300000000002</v>
      </c>
      <c r="C39">
        <v>0.43008600000000002</v>
      </c>
      <c r="D39">
        <v>0.40560800000000002</v>
      </c>
      <c r="E39">
        <v>0.42846499999999998</v>
      </c>
      <c r="F39" s="7">
        <v>94896000</v>
      </c>
      <c r="G39" s="7">
        <v>10722700000</v>
      </c>
      <c r="H39">
        <f t="shared" si="1"/>
        <v>1.0541457446537355</v>
      </c>
      <c r="I39">
        <f t="shared" si="0"/>
        <v>45476.867567159999</v>
      </c>
    </row>
    <row r="40" spans="1:9" x14ac:dyDescent="0.45">
      <c r="A40" s="6">
        <v>43094</v>
      </c>
      <c r="B40" s="12">
        <v>0.39233000000000001</v>
      </c>
      <c r="C40">
        <v>0.43969999999999998</v>
      </c>
      <c r="D40">
        <v>0.36280699999999999</v>
      </c>
      <c r="E40">
        <v>0.41636299999999998</v>
      </c>
      <c r="F40" s="7">
        <v>122194000</v>
      </c>
      <c r="G40" s="7">
        <v>10172000000</v>
      </c>
      <c r="H40">
        <f t="shared" si="1"/>
        <v>0.94160480582535921</v>
      </c>
      <c r="I40">
        <f t="shared" si="0"/>
        <v>43140.967743599998</v>
      </c>
    </row>
    <row r="41" spans="1:9" x14ac:dyDescent="0.45">
      <c r="A41" s="6">
        <v>43093</v>
      </c>
      <c r="B41" s="11">
        <v>0.416661</v>
      </c>
      <c r="C41">
        <v>0.416661</v>
      </c>
      <c r="D41">
        <v>0.34703899999999999</v>
      </c>
      <c r="E41">
        <v>0.39002900000000001</v>
      </c>
      <c r="F41" s="7">
        <v>67372300</v>
      </c>
      <c r="G41" s="7">
        <v>10802800000</v>
      </c>
      <c r="H41">
        <f t="shared" si="1"/>
        <v>1.0054075575503112</v>
      </c>
      <c r="I41">
        <f t="shared" si="0"/>
        <v>45816.426888119997</v>
      </c>
    </row>
    <row r="42" spans="1:9" x14ac:dyDescent="0.45">
      <c r="A42" s="6">
        <v>43092</v>
      </c>
      <c r="B42" s="14">
        <v>0.41442000000000001</v>
      </c>
      <c r="C42">
        <v>0.45036799999999999</v>
      </c>
      <c r="D42">
        <v>0.392567</v>
      </c>
      <c r="E42">
        <v>0.41402699999999998</v>
      </c>
      <c r="F42" s="7">
        <v>88865000</v>
      </c>
      <c r="G42" s="7">
        <v>10744700000</v>
      </c>
      <c r="H42">
        <f t="shared" si="1"/>
        <v>0.86522441719174736</v>
      </c>
      <c r="I42">
        <f t="shared" si="0"/>
        <v>45570.004466400002</v>
      </c>
    </row>
    <row r="43" spans="1:9" x14ac:dyDescent="0.45">
      <c r="A43" s="6">
        <v>43091</v>
      </c>
      <c r="B43" s="14">
        <v>0.47897400000000001</v>
      </c>
      <c r="C43">
        <v>0.47897400000000001</v>
      </c>
      <c r="D43">
        <v>0.29364099999999999</v>
      </c>
      <c r="E43">
        <v>0.40715000000000001</v>
      </c>
      <c r="F43" s="7">
        <v>150973000</v>
      </c>
      <c r="G43" s="7">
        <v>12418400000</v>
      </c>
      <c r="H43">
        <f t="shared" si="1"/>
        <v>0.97740021916175734</v>
      </c>
      <c r="I43">
        <f t="shared" si="0"/>
        <v>52668.421696079997</v>
      </c>
    </row>
    <row r="44" spans="1:9" x14ac:dyDescent="0.45">
      <c r="A44" s="6">
        <v>43090</v>
      </c>
      <c r="B44" s="14">
        <v>0.49004900000000001</v>
      </c>
      <c r="C44">
        <v>0.52361899999999995</v>
      </c>
      <c r="D44">
        <v>0.45652700000000002</v>
      </c>
      <c r="E44">
        <v>0.47785100000000003</v>
      </c>
      <c r="F44" s="7">
        <v>162926000</v>
      </c>
      <c r="G44" s="7">
        <v>12705500000</v>
      </c>
      <c r="H44">
        <f t="shared" si="1"/>
        <v>0.91820200297917398</v>
      </c>
      <c r="I44">
        <f t="shared" si="0"/>
        <v>53886.238885079998</v>
      </c>
    </row>
    <row r="45" spans="1:9" x14ac:dyDescent="0.45">
      <c r="A45" s="6">
        <v>43089</v>
      </c>
      <c r="B45" s="12">
        <v>0.53370499999999998</v>
      </c>
      <c r="C45">
        <v>0.53370499999999998</v>
      </c>
      <c r="D45">
        <v>0.44162099999999999</v>
      </c>
      <c r="E45">
        <v>0.486151</v>
      </c>
      <c r="F45" s="7">
        <v>182924000</v>
      </c>
      <c r="G45" s="7">
        <v>13837400000</v>
      </c>
      <c r="H45">
        <f t="shared" si="1"/>
        <v>1.0258270737389192</v>
      </c>
      <c r="I45">
        <f t="shared" si="0"/>
        <v>58686.692808599997</v>
      </c>
    </row>
    <row r="46" spans="1:9" x14ac:dyDescent="0.45">
      <c r="A46" s="6">
        <v>43088</v>
      </c>
      <c r="B46" s="12">
        <v>0.52026799999999995</v>
      </c>
      <c r="C46">
        <v>0.58958900000000003</v>
      </c>
      <c r="D46">
        <v>0.50108299999999995</v>
      </c>
      <c r="E46">
        <v>0.531273</v>
      </c>
      <c r="F46" s="7">
        <v>279631000</v>
      </c>
      <c r="G46" s="7">
        <v>13489000000</v>
      </c>
      <c r="H46">
        <f t="shared" si="1"/>
        <v>1.0162695164853623</v>
      </c>
      <c r="I46">
        <f t="shared" si="0"/>
        <v>57209.147926559992</v>
      </c>
    </row>
    <row r="47" spans="1:9" x14ac:dyDescent="0.45">
      <c r="A47" s="6">
        <v>43087</v>
      </c>
      <c r="B47" s="12">
        <v>0.51193900000000003</v>
      </c>
      <c r="C47">
        <v>0.52649599999999996</v>
      </c>
      <c r="D47">
        <v>0.46740300000000001</v>
      </c>
      <c r="E47">
        <v>0.51819800000000005</v>
      </c>
      <c r="F47" s="7">
        <v>253463000</v>
      </c>
      <c r="G47" s="7">
        <v>13273100000</v>
      </c>
      <c r="H47">
        <f t="shared" si="1"/>
        <v>1.3236093335918817</v>
      </c>
      <c r="I47">
        <f t="shared" si="0"/>
        <v>56293.283423880006</v>
      </c>
    </row>
    <row r="48" spans="1:9" x14ac:dyDescent="0.45">
      <c r="A48" s="6">
        <v>43086</v>
      </c>
      <c r="B48" s="12">
        <v>0.38677499999999998</v>
      </c>
      <c r="C48">
        <v>0.59241699999999997</v>
      </c>
      <c r="D48">
        <v>0.37801299999999999</v>
      </c>
      <c r="E48">
        <v>0.51301099999999999</v>
      </c>
      <c r="F48" s="7">
        <v>628143000</v>
      </c>
      <c r="G48" s="7">
        <v>10027900000</v>
      </c>
      <c r="H48">
        <f>B48/B49</f>
        <v>1.8169113329418671</v>
      </c>
      <c r="I48">
        <f t="shared" si="0"/>
        <v>42530.134832999996</v>
      </c>
    </row>
    <row r="49" spans="1:9" x14ac:dyDescent="0.45">
      <c r="A49" s="6">
        <v>43085</v>
      </c>
      <c r="B49" s="12">
        <v>0.21287500000000001</v>
      </c>
      <c r="C49">
        <v>0.44719199999999998</v>
      </c>
      <c r="D49">
        <v>0.204233</v>
      </c>
      <c r="E49">
        <v>0.404665</v>
      </c>
      <c r="F49" s="7">
        <v>581052000</v>
      </c>
      <c r="G49" s="7">
        <v>5519230000</v>
      </c>
      <c r="H49">
        <f>B49/B50</f>
        <v>0.91280782474089772</v>
      </c>
      <c r="I49">
        <f t="shared" si="0"/>
        <v>23407.930844999999</v>
      </c>
    </row>
    <row r="50" spans="1:9" x14ac:dyDescent="0.45">
      <c r="A50" s="6">
        <v>43084</v>
      </c>
      <c r="B50" s="11">
        <v>0.233209</v>
      </c>
      <c r="C50">
        <v>0.233209</v>
      </c>
      <c r="D50">
        <v>0.187032</v>
      </c>
      <c r="E50">
        <v>0.21346699999999999</v>
      </c>
      <c r="F50" s="7">
        <v>207311000</v>
      </c>
      <c r="G50" s="7">
        <v>6046420000</v>
      </c>
      <c r="H50" t="e">
        <f>E50/E51</f>
        <v>#DIV/0!</v>
      </c>
      <c r="I50">
        <f>109960.92*B50</f>
        <v>25643.87619228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38"/>
  <sheetViews>
    <sheetView workbookViewId="0">
      <selection activeCell="G2" sqref="G2:G338"/>
    </sheetView>
  </sheetViews>
  <sheetFormatPr defaultRowHeight="14.25" x14ac:dyDescent="0.45"/>
  <cols>
    <col min="1" max="1" width="17.59765625" customWidth="1"/>
    <col min="2" max="2" width="12.73046875" customWidth="1"/>
    <col min="3" max="3" width="16.86328125" customWidth="1"/>
    <col min="4" max="4" width="10.3984375" customWidth="1"/>
    <col min="5" max="5" width="19.06640625" customWidth="1"/>
    <col min="6" max="6" width="37.59765625" bestFit="1" customWidth="1"/>
    <col min="7" max="7" width="15.46484375" bestFit="1" customWidth="1"/>
  </cols>
  <sheetData>
    <row r="1" spans="1:7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422</v>
      </c>
    </row>
    <row r="2" spans="1:7" x14ac:dyDescent="0.45">
      <c r="A2" t="s">
        <v>114</v>
      </c>
      <c r="B2" s="1">
        <v>42387</v>
      </c>
      <c r="C2">
        <v>26</v>
      </c>
      <c r="D2" s="1">
        <v>42387</v>
      </c>
      <c r="E2" t="s">
        <v>195</v>
      </c>
      <c r="F2" t="s">
        <v>116</v>
      </c>
      <c r="G2" t="s">
        <v>394</v>
      </c>
    </row>
    <row r="3" spans="1:7" x14ac:dyDescent="0.45">
      <c r="A3" t="s">
        <v>19</v>
      </c>
      <c r="B3" s="1">
        <v>42404</v>
      </c>
      <c r="C3">
        <v>11</v>
      </c>
      <c r="D3" s="1">
        <v>42404</v>
      </c>
      <c r="E3" t="s">
        <v>194</v>
      </c>
      <c r="F3" t="s">
        <v>21</v>
      </c>
      <c r="G3" t="s">
        <v>394</v>
      </c>
    </row>
    <row r="4" spans="1:7" x14ac:dyDescent="0.45">
      <c r="A4" t="s">
        <v>142</v>
      </c>
      <c r="B4" s="1">
        <v>42416</v>
      </c>
      <c r="C4">
        <v>1</v>
      </c>
      <c r="D4" s="1">
        <v>42416</v>
      </c>
      <c r="E4" t="s">
        <v>193</v>
      </c>
      <c r="F4" t="s">
        <v>144</v>
      </c>
      <c r="G4" t="s">
        <v>394</v>
      </c>
    </row>
    <row r="5" spans="1:7" x14ac:dyDescent="0.45">
      <c r="A5" t="s">
        <v>153</v>
      </c>
      <c r="B5" s="1">
        <v>42424</v>
      </c>
      <c r="C5">
        <v>5</v>
      </c>
      <c r="D5" s="1">
        <v>42424</v>
      </c>
      <c r="E5" t="s">
        <v>192</v>
      </c>
      <c r="F5" t="s">
        <v>155</v>
      </c>
      <c r="G5" t="s">
        <v>394</v>
      </c>
    </row>
    <row r="6" spans="1:7" x14ac:dyDescent="0.45">
      <c r="A6" t="s">
        <v>19</v>
      </c>
      <c r="B6" s="1">
        <v>42425</v>
      </c>
      <c r="C6">
        <v>3</v>
      </c>
      <c r="D6" s="1">
        <v>42425</v>
      </c>
      <c r="E6" t="s">
        <v>191</v>
      </c>
      <c r="F6" t="s">
        <v>21</v>
      </c>
      <c r="G6" t="s">
        <v>394</v>
      </c>
    </row>
    <row r="7" spans="1:7" x14ac:dyDescent="0.45">
      <c r="A7" t="s">
        <v>19</v>
      </c>
      <c r="B7" s="1">
        <v>42430</v>
      </c>
      <c r="C7">
        <v>4</v>
      </c>
      <c r="D7" s="1">
        <v>42430</v>
      </c>
      <c r="E7" t="s">
        <v>190</v>
      </c>
      <c r="F7" t="s">
        <v>21</v>
      </c>
      <c r="G7" t="s">
        <v>394</v>
      </c>
    </row>
    <row r="8" spans="1:7" x14ac:dyDescent="0.45">
      <c r="A8" t="s">
        <v>19</v>
      </c>
      <c r="B8" s="1">
        <v>42431</v>
      </c>
      <c r="C8">
        <v>2</v>
      </c>
      <c r="D8" s="1">
        <v>42431</v>
      </c>
      <c r="E8" t="s">
        <v>188</v>
      </c>
      <c r="F8" t="s">
        <v>21</v>
      </c>
      <c r="G8" t="s">
        <v>394</v>
      </c>
    </row>
    <row r="9" spans="1:7" x14ac:dyDescent="0.45">
      <c r="A9" t="s">
        <v>142</v>
      </c>
      <c r="B9" s="1">
        <v>42431</v>
      </c>
      <c r="C9">
        <v>2</v>
      </c>
      <c r="D9" s="1">
        <v>42431</v>
      </c>
      <c r="E9" t="s">
        <v>189</v>
      </c>
      <c r="F9" t="s">
        <v>144</v>
      </c>
      <c r="G9" t="s">
        <v>394</v>
      </c>
    </row>
    <row r="10" spans="1:7" x14ac:dyDescent="0.45">
      <c r="A10" t="s">
        <v>19</v>
      </c>
      <c r="B10" s="1">
        <v>42437</v>
      </c>
      <c r="C10">
        <v>4</v>
      </c>
      <c r="D10" s="1">
        <v>42437</v>
      </c>
      <c r="E10" t="s">
        <v>187</v>
      </c>
      <c r="F10" t="s">
        <v>21</v>
      </c>
      <c r="G10" t="s">
        <v>394</v>
      </c>
    </row>
    <row r="11" spans="1:7" x14ac:dyDescent="0.45">
      <c r="A11" t="s">
        <v>153</v>
      </c>
      <c r="B11" s="1">
        <v>42446</v>
      </c>
      <c r="C11">
        <v>6</v>
      </c>
      <c r="D11" s="1">
        <v>42446</v>
      </c>
      <c r="E11" t="s">
        <v>185</v>
      </c>
      <c r="F11" t="s">
        <v>155</v>
      </c>
      <c r="G11" t="s">
        <v>394</v>
      </c>
    </row>
    <row r="12" spans="1:7" x14ac:dyDescent="0.45">
      <c r="A12" t="s">
        <v>142</v>
      </c>
      <c r="B12" s="1">
        <v>42446</v>
      </c>
      <c r="C12">
        <v>1</v>
      </c>
      <c r="D12" s="1">
        <v>42446</v>
      </c>
      <c r="E12" t="s">
        <v>186</v>
      </c>
      <c r="F12" t="s">
        <v>144</v>
      </c>
      <c r="G12" t="s">
        <v>394</v>
      </c>
    </row>
    <row r="13" spans="1:7" x14ac:dyDescent="0.45">
      <c r="A13" t="s">
        <v>19</v>
      </c>
      <c r="B13" s="1">
        <v>42450</v>
      </c>
      <c r="C13">
        <v>5</v>
      </c>
      <c r="D13" s="1">
        <v>42450</v>
      </c>
      <c r="E13" t="s">
        <v>184</v>
      </c>
      <c r="F13" t="s">
        <v>21</v>
      </c>
      <c r="G13" t="s">
        <v>394</v>
      </c>
    </row>
    <row r="14" spans="1:7" x14ac:dyDescent="0.45">
      <c r="A14" t="s">
        <v>19</v>
      </c>
      <c r="B14" s="1">
        <v>42459</v>
      </c>
      <c r="C14">
        <v>5</v>
      </c>
      <c r="D14" s="1">
        <v>42459</v>
      </c>
      <c r="E14" t="s">
        <v>183</v>
      </c>
      <c r="F14" t="s">
        <v>21</v>
      </c>
      <c r="G14" t="s">
        <v>394</v>
      </c>
    </row>
    <row r="15" spans="1:7" x14ac:dyDescent="0.45">
      <c r="A15" t="s">
        <v>142</v>
      </c>
      <c r="B15" s="1">
        <v>42465</v>
      </c>
      <c r="C15">
        <v>-1</v>
      </c>
      <c r="D15" s="1">
        <v>42464</v>
      </c>
      <c r="E15" t="s">
        <v>181</v>
      </c>
      <c r="F15" t="s">
        <v>144</v>
      </c>
      <c r="G15" t="s">
        <v>394</v>
      </c>
    </row>
    <row r="16" spans="1:7" x14ac:dyDescent="0.45">
      <c r="A16" t="s">
        <v>142</v>
      </c>
      <c r="B16" s="1">
        <v>42465</v>
      </c>
      <c r="C16">
        <v>1</v>
      </c>
      <c r="D16" s="1">
        <v>42464</v>
      </c>
      <c r="E16" t="s">
        <v>181</v>
      </c>
      <c r="F16" t="s">
        <v>144</v>
      </c>
      <c r="G16" t="s">
        <v>394</v>
      </c>
    </row>
    <row r="17" spans="1:7" x14ac:dyDescent="0.45">
      <c r="A17" t="s">
        <v>142</v>
      </c>
      <c r="B17" s="1">
        <v>42465</v>
      </c>
      <c r="C17">
        <v>1</v>
      </c>
      <c r="D17" s="1">
        <v>42465</v>
      </c>
      <c r="E17" t="s">
        <v>182</v>
      </c>
      <c r="F17" t="s">
        <v>144</v>
      </c>
      <c r="G17" t="s">
        <v>394</v>
      </c>
    </row>
    <row r="18" spans="1:7" x14ac:dyDescent="0.45">
      <c r="A18" t="s">
        <v>19</v>
      </c>
      <c r="B18" s="1">
        <v>42466</v>
      </c>
      <c r="C18">
        <v>14</v>
      </c>
      <c r="D18" s="1">
        <v>42466</v>
      </c>
      <c r="E18" t="s">
        <v>180</v>
      </c>
      <c r="F18" t="s">
        <v>21</v>
      </c>
      <c r="G18" t="s">
        <v>394</v>
      </c>
    </row>
    <row r="19" spans="1:7" x14ac:dyDescent="0.45">
      <c r="A19" t="s">
        <v>19</v>
      </c>
      <c r="B19" s="1">
        <v>42485</v>
      </c>
      <c r="C19">
        <v>22</v>
      </c>
      <c r="D19" s="1">
        <v>42485</v>
      </c>
      <c r="E19" t="s">
        <v>179</v>
      </c>
      <c r="F19" t="s">
        <v>21</v>
      </c>
      <c r="G19" t="s">
        <v>394</v>
      </c>
    </row>
    <row r="20" spans="1:7" x14ac:dyDescent="0.45">
      <c r="A20" t="s">
        <v>114</v>
      </c>
      <c r="B20" s="1">
        <v>42492</v>
      </c>
      <c r="C20">
        <v>7</v>
      </c>
      <c r="D20" s="1">
        <v>42492</v>
      </c>
      <c r="E20" t="s">
        <v>178</v>
      </c>
      <c r="F20" t="s">
        <v>116</v>
      </c>
      <c r="G20" t="s">
        <v>394</v>
      </c>
    </row>
    <row r="21" spans="1:7" x14ac:dyDescent="0.45">
      <c r="A21" t="s">
        <v>19</v>
      </c>
      <c r="B21" s="1">
        <v>42508</v>
      </c>
      <c r="C21">
        <v>3</v>
      </c>
      <c r="D21" s="1">
        <v>42508</v>
      </c>
      <c r="E21" t="s">
        <v>175</v>
      </c>
      <c r="F21" t="s">
        <v>21</v>
      </c>
      <c r="G21" t="s">
        <v>394</v>
      </c>
    </row>
    <row r="22" spans="1:7" x14ac:dyDescent="0.45">
      <c r="A22" t="s">
        <v>19</v>
      </c>
      <c r="B22" s="1">
        <v>42508</v>
      </c>
      <c r="C22">
        <v>1</v>
      </c>
      <c r="D22" s="1">
        <v>42508</v>
      </c>
      <c r="E22" t="s">
        <v>176</v>
      </c>
      <c r="F22" t="s">
        <v>21</v>
      </c>
      <c r="G22" t="s">
        <v>394</v>
      </c>
    </row>
    <row r="23" spans="1:7" x14ac:dyDescent="0.45">
      <c r="A23" t="s">
        <v>153</v>
      </c>
      <c r="B23" s="1">
        <v>42508</v>
      </c>
      <c r="C23">
        <v>8</v>
      </c>
      <c r="D23" s="1">
        <v>42508</v>
      </c>
      <c r="E23" t="s">
        <v>177</v>
      </c>
      <c r="F23" t="s">
        <v>155</v>
      </c>
      <c r="G23" t="s">
        <v>394</v>
      </c>
    </row>
    <row r="24" spans="1:7" x14ac:dyDescent="0.45">
      <c r="A24" t="s">
        <v>142</v>
      </c>
      <c r="B24" s="1">
        <v>42514</v>
      </c>
      <c r="C24">
        <v>1</v>
      </c>
      <c r="D24" s="1">
        <v>42514</v>
      </c>
      <c r="E24" t="s">
        <v>174</v>
      </c>
      <c r="F24" t="s">
        <v>144</v>
      </c>
      <c r="G24" t="s">
        <v>394</v>
      </c>
    </row>
    <row r="25" spans="1:7" x14ac:dyDescent="0.45">
      <c r="A25" t="s">
        <v>153</v>
      </c>
      <c r="B25" s="1">
        <v>42515</v>
      </c>
      <c r="C25">
        <v>8</v>
      </c>
      <c r="D25" s="1">
        <v>42515</v>
      </c>
      <c r="E25" t="s">
        <v>173</v>
      </c>
      <c r="F25" t="s">
        <v>155</v>
      </c>
      <c r="G25" t="s">
        <v>394</v>
      </c>
    </row>
    <row r="26" spans="1:7" x14ac:dyDescent="0.45">
      <c r="A26" t="s">
        <v>153</v>
      </c>
      <c r="B26" s="1">
        <v>42527</v>
      </c>
      <c r="C26">
        <v>12</v>
      </c>
      <c r="D26" s="1">
        <v>42527</v>
      </c>
      <c r="E26" t="s">
        <v>171</v>
      </c>
      <c r="F26" t="s">
        <v>155</v>
      </c>
      <c r="G26" t="s">
        <v>394</v>
      </c>
    </row>
    <row r="27" spans="1:7" x14ac:dyDescent="0.45">
      <c r="A27" t="s">
        <v>19</v>
      </c>
      <c r="B27" s="1">
        <v>42527</v>
      </c>
      <c r="C27">
        <v>1</v>
      </c>
      <c r="D27" s="1">
        <v>42527</v>
      </c>
      <c r="E27" t="s">
        <v>172</v>
      </c>
      <c r="F27" t="s">
        <v>21</v>
      </c>
      <c r="G27" t="s">
        <v>394</v>
      </c>
    </row>
    <row r="28" spans="1:7" x14ac:dyDescent="0.45">
      <c r="A28" t="s">
        <v>114</v>
      </c>
      <c r="B28" s="1">
        <v>42529</v>
      </c>
      <c r="C28">
        <v>7</v>
      </c>
      <c r="D28" s="1">
        <v>42529</v>
      </c>
      <c r="E28" t="s">
        <v>170</v>
      </c>
      <c r="F28" t="s">
        <v>116</v>
      </c>
      <c r="G28" t="s">
        <v>394</v>
      </c>
    </row>
    <row r="29" spans="1:7" x14ac:dyDescent="0.45">
      <c r="A29" t="s">
        <v>114</v>
      </c>
      <c r="B29" s="1">
        <v>42537</v>
      </c>
      <c r="C29">
        <v>13</v>
      </c>
      <c r="D29" s="1">
        <v>42537</v>
      </c>
      <c r="E29" t="s">
        <v>169</v>
      </c>
      <c r="F29" t="s">
        <v>116</v>
      </c>
      <c r="G29" t="s">
        <v>394</v>
      </c>
    </row>
    <row r="30" spans="1:7" x14ac:dyDescent="0.45">
      <c r="A30" t="s">
        <v>19</v>
      </c>
      <c r="B30" s="1">
        <v>42548</v>
      </c>
      <c r="C30">
        <v>3</v>
      </c>
      <c r="D30" s="1">
        <v>42548</v>
      </c>
      <c r="E30" t="s">
        <v>168</v>
      </c>
      <c r="F30" t="s">
        <v>21</v>
      </c>
      <c r="G30" t="s">
        <v>394</v>
      </c>
    </row>
    <row r="31" spans="1:7" x14ac:dyDescent="0.45">
      <c r="A31" t="s">
        <v>142</v>
      </c>
      <c r="B31" s="1">
        <v>42557</v>
      </c>
      <c r="C31">
        <v>1</v>
      </c>
      <c r="D31" s="1">
        <v>42557</v>
      </c>
      <c r="E31" t="s">
        <v>167</v>
      </c>
      <c r="F31" t="s">
        <v>144</v>
      </c>
      <c r="G31" t="s">
        <v>394</v>
      </c>
    </row>
    <row r="32" spans="1:7" x14ac:dyDescent="0.45">
      <c r="A32" t="s">
        <v>153</v>
      </c>
      <c r="B32" s="1">
        <v>42559</v>
      </c>
      <c r="C32">
        <v>25</v>
      </c>
      <c r="D32" s="1">
        <v>42558</v>
      </c>
      <c r="E32" t="s">
        <v>166</v>
      </c>
      <c r="F32" t="s">
        <v>155</v>
      </c>
      <c r="G32" t="s">
        <v>394</v>
      </c>
    </row>
    <row r="33" spans="1:7" x14ac:dyDescent="0.45">
      <c r="A33" t="s">
        <v>19</v>
      </c>
      <c r="B33" s="1">
        <v>42563</v>
      </c>
      <c r="C33">
        <v>10</v>
      </c>
      <c r="D33" s="1">
        <v>42563</v>
      </c>
      <c r="E33" t="s">
        <v>164</v>
      </c>
      <c r="F33" t="s">
        <v>21</v>
      </c>
      <c r="G33" t="s">
        <v>394</v>
      </c>
    </row>
    <row r="34" spans="1:7" x14ac:dyDescent="0.45">
      <c r="A34" t="s">
        <v>19</v>
      </c>
      <c r="B34" s="1">
        <v>42563</v>
      </c>
      <c r="C34">
        <v>4</v>
      </c>
      <c r="D34" s="1">
        <v>42563</v>
      </c>
      <c r="E34" t="s">
        <v>165</v>
      </c>
      <c r="F34" t="s">
        <v>21</v>
      </c>
      <c r="G34" t="s">
        <v>394</v>
      </c>
    </row>
    <row r="35" spans="1:7" x14ac:dyDescent="0.45">
      <c r="A35" t="s">
        <v>114</v>
      </c>
      <c r="B35" s="1">
        <v>42572</v>
      </c>
      <c r="C35">
        <v>8</v>
      </c>
      <c r="D35" s="1">
        <v>42572</v>
      </c>
      <c r="E35" t="s">
        <v>163</v>
      </c>
      <c r="F35" t="s">
        <v>116</v>
      </c>
      <c r="G35" t="s">
        <v>394</v>
      </c>
    </row>
    <row r="36" spans="1:7" x14ac:dyDescent="0.45">
      <c r="A36" t="s">
        <v>153</v>
      </c>
      <c r="B36" s="1">
        <v>42586</v>
      </c>
      <c r="C36">
        <v>25</v>
      </c>
      <c r="D36" s="1">
        <v>42586</v>
      </c>
      <c r="E36" t="s">
        <v>162</v>
      </c>
      <c r="F36" t="s">
        <v>155</v>
      </c>
      <c r="G36" t="s">
        <v>394</v>
      </c>
    </row>
    <row r="37" spans="1:7" x14ac:dyDescent="0.45">
      <c r="A37" t="s">
        <v>114</v>
      </c>
      <c r="B37" s="1">
        <v>42593</v>
      </c>
      <c r="C37">
        <v>6</v>
      </c>
      <c r="D37" s="1">
        <v>42593</v>
      </c>
      <c r="E37" t="s">
        <v>161</v>
      </c>
      <c r="F37" t="s">
        <v>116</v>
      </c>
      <c r="G37" t="s">
        <v>394</v>
      </c>
    </row>
    <row r="38" spans="1:7" x14ac:dyDescent="0.45">
      <c r="A38" t="s">
        <v>114</v>
      </c>
      <c r="B38" s="1">
        <v>42598</v>
      </c>
      <c r="C38">
        <v>7</v>
      </c>
      <c r="D38" s="1">
        <v>42598</v>
      </c>
      <c r="E38" t="s">
        <v>160</v>
      </c>
      <c r="F38" t="s">
        <v>116</v>
      </c>
      <c r="G38" t="s">
        <v>394</v>
      </c>
    </row>
    <row r="39" spans="1:7" x14ac:dyDescent="0.45">
      <c r="A39" t="s">
        <v>19</v>
      </c>
      <c r="B39" s="1">
        <v>42599</v>
      </c>
      <c r="C39">
        <v>6</v>
      </c>
      <c r="D39" s="1">
        <v>42599</v>
      </c>
      <c r="E39" t="s">
        <v>159</v>
      </c>
      <c r="F39" t="s">
        <v>21</v>
      </c>
      <c r="G39" t="s">
        <v>394</v>
      </c>
    </row>
    <row r="40" spans="1:7" x14ac:dyDescent="0.45">
      <c r="A40" t="s">
        <v>19</v>
      </c>
      <c r="B40" s="1">
        <v>42604</v>
      </c>
      <c r="C40">
        <v>2</v>
      </c>
      <c r="D40" s="1">
        <v>42604</v>
      </c>
      <c r="E40" t="s">
        <v>158</v>
      </c>
      <c r="F40" t="s">
        <v>21</v>
      </c>
      <c r="G40" t="s">
        <v>394</v>
      </c>
    </row>
    <row r="41" spans="1:7" x14ac:dyDescent="0.45">
      <c r="A41" t="s">
        <v>114</v>
      </c>
      <c r="B41" s="1">
        <v>42606</v>
      </c>
      <c r="C41">
        <v>12</v>
      </c>
      <c r="D41" s="1">
        <v>42606</v>
      </c>
      <c r="E41" t="s">
        <v>157</v>
      </c>
      <c r="F41" t="s">
        <v>116</v>
      </c>
      <c r="G41" t="s">
        <v>394</v>
      </c>
    </row>
    <row r="42" spans="1:7" x14ac:dyDescent="0.45">
      <c r="A42" t="s">
        <v>19</v>
      </c>
      <c r="B42" s="1">
        <v>42607</v>
      </c>
      <c r="C42">
        <v>8</v>
      </c>
      <c r="D42" s="1">
        <v>42607</v>
      </c>
      <c r="E42" t="s">
        <v>156</v>
      </c>
      <c r="F42" t="s">
        <v>21</v>
      </c>
      <c r="G42" t="s">
        <v>394</v>
      </c>
    </row>
    <row r="43" spans="1:7" x14ac:dyDescent="0.45">
      <c r="A43" t="s">
        <v>153</v>
      </c>
      <c r="B43" s="1">
        <v>42612</v>
      </c>
      <c r="C43">
        <v>25</v>
      </c>
      <c r="D43" s="1">
        <v>42612</v>
      </c>
      <c r="E43" t="s">
        <v>154</v>
      </c>
      <c r="F43" t="s">
        <v>155</v>
      </c>
      <c r="G43" t="s">
        <v>394</v>
      </c>
    </row>
    <row r="44" spans="1:7" x14ac:dyDescent="0.45">
      <c r="A44" t="s">
        <v>19</v>
      </c>
      <c r="B44" s="1">
        <v>42621</v>
      </c>
      <c r="C44">
        <v>8</v>
      </c>
      <c r="D44" s="1">
        <v>42621</v>
      </c>
      <c r="E44" t="s">
        <v>151</v>
      </c>
      <c r="F44" t="s">
        <v>21</v>
      </c>
      <c r="G44" t="s">
        <v>394</v>
      </c>
    </row>
    <row r="45" spans="1:7" x14ac:dyDescent="0.45">
      <c r="A45" t="s">
        <v>19</v>
      </c>
      <c r="B45" s="1">
        <v>42621</v>
      </c>
      <c r="C45">
        <v>2</v>
      </c>
      <c r="D45" s="1">
        <v>42621</v>
      </c>
      <c r="E45" t="s">
        <v>152</v>
      </c>
      <c r="F45" t="s">
        <v>21</v>
      </c>
      <c r="G45" t="s">
        <v>394</v>
      </c>
    </row>
    <row r="46" spans="1:7" x14ac:dyDescent="0.45">
      <c r="A46" t="s">
        <v>148</v>
      </c>
      <c r="B46" s="1">
        <v>42626</v>
      </c>
      <c r="C46">
        <v>4</v>
      </c>
      <c r="D46" s="1">
        <v>42626</v>
      </c>
      <c r="E46" t="s">
        <v>149</v>
      </c>
      <c r="F46" t="s">
        <v>150</v>
      </c>
      <c r="G46" t="s">
        <v>394</v>
      </c>
    </row>
    <row r="47" spans="1:7" x14ac:dyDescent="0.45">
      <c r="A47" t="s">
        <v>19</v>
      </c>
      <c r="B47" s="1">
        <v>42629</v>
      </c>
      <c r="C47">
        <v>8</v>
      </c>
      <c r="D47" s="1">
        <v>42628</v>
      </c>
      <c r="E47" t="s">
        <v>147</v>
      </c>
      <c r="F47" t="s">
        <v>21</v>
      </c>
      <c r="G47" t="s">
        <v>394</v>
      </c>
    </row>
    <row r="48" spans="1:7" x14ac:dyDescent="0.45">
      <c r="A48" t="s">
        <v>19</v>
      </c>
      <c r="B48" s="1">
        <v>42632</v>
      </c>
      <c r="C48">
        <v>5</v>
      </c>
      <c r="D48" s="1">
        <v>42632</v>
      </c>
      <c r="E48" t="s">
        <v>146</v>
      </c>
      <c r="F48" t="s">
        <v>21</v>
      </c>
      <c r="G48" t="s">
        <v>394</v>
      </c>
    </row>
    <row r="49" spans="1:7" x14ac:dyDescent="0.45">
      <c r="A49" t="s">
        <v>19</v>
      </c>
      <c r="B49" s="1">
        <v>42635</v>
      </c>
      <c r="C49">
        <v>6</v>
      </c>
      <c r="D49" s="1">
        <v>42634</v>
      </c>
      <c r="E49" t="s">
        <v>145</v>
      </c>
      <c r="F49" t="s">
        <v>21</v>
      </c>
      <c r="G49" t="s">
        <v>394</v>
      </c>
    </row>
    <row r="50" spans="1:7" x14ac:dyDescent="0.45">
      <c r="A50" t="s">
        <v>114</v>
      </c>
      <c r="B50" s="1">
        <v>42646</v>
      </c>
      <c r="C50">
        <v>11</v>
      </c>
      <c r="D50" s="1">
        <v>42646</v>
      </c>
      <c r="E50" t="s">
        <v>141</v>
      </c>
      <c r="F50" t="s">
        <v>116</v>
      </c>
      <c r="G50" t="s">
        <v>394</v>
      </c>
    </row>
    <row r="51" spans="1:7" x14ac:dyDescent="0.45">
      <c r="A51" t="s">
        <v>142</v>
      </c>
      <c r="B51" s="1">
        <v>42646</v>
      </c>
      <c r="C51">
        <v>1</v>
      </c>
      <c r="D51" s="1">
        <v>42646</v>
      </c>
      <c r="E51" t="s">
        <v>143</v>
      </c>
      <c r="F51" t="s">
        <v>144</v>
      </c>
      <c r="G51" t="s">
        <v>394</v>
      </c>
    </row>
    <row r="52" spans="1:7" x14ac:dyDescent="0.45">
      <c r="A52" t="s">
        <v>114</v>
      </c>
      <c r="B52" s="1">
        <v>42653</v>
      </c>
      <c r="C52">
        <v>12</v>
      </c>
      <c r="D52" s="1">
        <v>42653</v>
      </c>
      <c r="E52" t="s">
        <v>140</v>
      </c>
      <c r="F52" t="s">
        <v>116</v>
      </c>
      <c r="G52" t="s">
        <v>394</v>
      </c>
    </row>
    <row r="53" spans="1:7" x14ac:dyDescent="0.45">
      <c r="A53" t="s">
        <v>19</v>
      </c>
      <c r="B53" s="1">
        <v>42661</v>
      </c>
      <c r="C53">
        <v>15</v>
      </c>
      <c r="D53" s="1">
        <v>42660</v>
      </c>
      <c r="E53" t="s">
        <v>138</v>
      </c>
      <c r="F53" t="s">
        <v>21</v>
      </c>
      <c r="G53" t="s">
        <v>394</v>
      </c>
    </row>
    <row r="54" spans="1:7" x14ac:dyDescent="0.45">
      <c r="A54" t="s">
        <v>19</v>
      </c>
      <c r="B54" s="1">
        <v>42661</v>
      </c>
      <c r="C54">
        <v>1</v>
      </c>
      <c r="D54" s="1">
        <v>42660</v>
      </c>
      <c r="E54" t="s">
        <v>139</v>
      </c>
      <c r="F54" t="s">
        <v>21</v>
      </c>
      <c r="G54" t="s">
        <v>394</v>
      </c>
    </row>
    <row r="55" spans="1:7" x14ac:dyDescent="0.45">
      <c r="A55" t="s">
        <v>19</v>
      </c>
      <c r="B55" s="1">
        <v>42670</v>
      </c>
      <c r="C55">
        <v>4</v>
      </c>
      <c r="D55" s="1">
        <v>42670</v>
      </c>
      <c r="E55" t="s">
        <v>137</v>
      </c>
      <c r="F55" t="s">
        <v>21</v>
      </c>
      <c r="G55" t="s">
        <v>394</v>
      </c>
    </row>
    <row r="56" spans="1:7" x14ac:dyDescent="0.45">
      <c r="A56" t="s">
        <v>19</v>
      </c>
      <c r="B56" s="1">
        <v>42675</v>
      </c>
      <c r="C56">
        <v>10</v>
      </c>
      <c r="D56" s="1">
        <v>42675</v>
      </c>
      <c r="E56" t="s">
        <v>136</v>
      </c>
      <c r="F56" t="s">
        <v>21</v>
      </c>
      <c r="G56" t="s">
        <v>394</v>
      </c>
    </row>
    <row r="57" spans="1:7" x14ac:dyDescent="0.45">
      <c r="A57" t="s">
        <v>19</v>
      </c>
      <c r="B57" s="1">
        <v>42690</v>
      </c>
      <c r="C57">
        <v>3</v>
      </c>
      <c r="D57" s="1">
        <v>42690</v>
      </c>
      <c r="E57" t="s">
        <v>135</v>
      </c>
      <c r="F57" t="s">
        <v>21</v>
      </c>
      <c r="G57" t="s">
        <v>394</v>
      </c>
    </row>
    <row r="58" spans="1:7" x14ac:dyDescent="0.45">
      <c r="A58" t="s">
        <v>19</v>
      </c>
      <c r="B58" s="1">
        <v>42696</v>
      </c>
      <c r="C58">
        <v>16</v>
      </c>
      <c r="D58" s="1">
        <v>42696</v>
      </c>
      <c r="E58" t="s">
        <v>134</v>
      </c>
      <c r="F58" t="s">
        <v>21</v>
      </c>
      <c r="G58" t="s">
        <v>394</v>
      </c>
    </row>
    <row r="59" spans="1:7" x14ac:dyDescent="0.45">
      <c r="A59" t="s">
        <v>19</v>
      </c>
      <c r="B59" s="1">
        <v>42704</v>
      </c>
      <c r="C59">
        <v>10</v>
      </c>
      <c r="D59" s="1">
        <v>42704</v>
      </c>
      <c r="E59" t="s">
        <v>133</v>
      </c>
      <c r="F59" t="s">
        <v>21</v>
      </c>
      <c r="G59" t="s">
        <v>394</v>
      </c>
    </row>
    <row r="60" spans="1:7" x14ac:dyDescent="0.45">
      <c r="A60" t="s">
        <v>19</v>
      </c>
      <c r="B60" s="1">
        <v>42732</v>
      </c>
      <c r="C60">
        <v>3</v>
      </c>
      <c r="D60" s="1">
        <v>42731</v>
      </c>
      <c r="E60" t="s">
        <v>132</v>
      </c>
      <c r="F60" t="s">
        <v>21</v>
      </c>
      <c r="G60" t="s">
        <v>394</v>
      </c>
    </row>
    <row r="61" spans="1:7" x14ac:dyDescent="0.45">
      <c r="A61" t="s">
        <v>15</v>
      </c>
      <c r="B61" s="1">
        <v>42740</v>
      </c>
      <c r="C61">
        <v>10</v>
      </c>
      <c r="D61" s="1">
        <v>42740</v>
      </c>
      <c r="E61" t="s">
        <v>131</v>
      </c>
      <c r="F61" t="s">
        <v>17</v>
      </c>
      <c r="G61" t="s">
        <v>394</v>
      </c>
    </row>
    <row r="62" spans="1:7" x14ac:dyDescent="0.45">
      <c r="A62" t="s">
        <v>19</v>
      </c>
      <c r="B62" s="1">
        <v>42744</v>
      </c>
      <c r="C62">
        <v>1</v>
      </c>
      <c r="D62" s="1">
        <v>42744</v>
      </c>
      <c r="E62" t="s">
        <v>130</v>
      </c>
      <c r="F62" t="s">
        <v>21</v>
      </c>
      <c r="G62" t="s">
        <v>394</v>
      </c>
    </row>
    <row r="63" spans="1:7" x14ac:dyDescent="0.45">
      <c r="A63" t="s">
        <v>19</v>
      </c>
      <c r="B63" s="1">
        <v>42752</v>
      </c>
      <c r="C63">
        <v>10</v>
      </c>
      <c r="D63" s="1">
        <v>42751</v>
      </c>
      <c r="E63" t="s">
        <v>129</v>
      </c>
      <c r="F63" t="s">
        <v>21</v>
      </c>
      <c r="G63" t="s">
        <v>394</v>
      </c>
    </row>
    <row r="64" spans="1:7" x14ac:dyDescent="0.45">
      <c r="A64" t="s">
        <v>15</v>
      </c>
      <c r="B64" s="1">
        <v>42758</v>
      </c>
      <c r="C64">
        <v>10</v>
      </c>
      <c r="D64" s="1">
        <v>42758</v>
      </c>
      <c r="E64" t="s">
        <v>127</v>
      </c>
      <c r="F64" t="s">
        <v>17</v>
      </c>
      <c r="G64" t="s">
        <v>394</v>
      </c>
    </row>
    <row r="65" spans="1:7" x14ac:dyDescent="0.45">
      <c r="A65" t="s">
        <v>19</v>
      </c>
      <c r="B65" s="1">
        <v>42758</v>
      </c>
      <c r="C65">
        <v>3</v>
      </c>
      <c r="D65" s="1">
        <v>42758</v>
      </c>
      <c r="E65" t="s">
        <v>128</v>
      </c>
      <c r="F65" t="s">
        <v>21</v>
      </c>
      <c r="G65" t="s">
        <v>394</v>
      </c>
    </row>
    <row r="66" spans="1:7" x14ac:dyDescent="0.45">
      <c r="A66" t="s">
        <v>19</v>
      </c>
      <c r="B66" s="1">
        <v>42762</v>
      </c>
      <c r="C66">
        <v>3</v>
      </c>
      <c r="D66" s="1">
        <v>42761</v>
      </c>
      <c r="E66" t="s">
        <v>125</v>
      </c>
      <c r="F66" t="s">
        <v>21</v>
      </c>
      <c r="G66" t="s">
        <v>394</v>
      </c>
    </row>
    <row r="67" spans="1:7" x14ac:dyDescent="0.45">
      <c r="A67" t="s">
        <v>19</v>
      </c>
      <c r="B67" s="1">
        <v>42762</v>
      </c>
      <c r="C67">
        <v>1</v>
      </c>
      <c r="D67" s="1">
        <v>42761</v>
      </c>
      <c r="E67" t="s">
        <v>126</v>
      </c>
      <c r="F67" t="s">
        <v>21</v>
      </c>
      <c r="G67" t="s">
        <v>394</v>
      </c>
    </row>
    <row r="68" spans="1:7" x14ac:dyDescent="0.45">
      <c r="A68" t="s">
        <v>15</v>
      </c>
      <c r="B68" s="1">
        <v>42772</v>
      </c>
      <c r="C68">
        <v>10</v>
      </c>
      <c r="D68" s="1">
        <v>42772</v>
      </c>
      <c r="E68" t="s">
        <v>124</v>
      </c>
      <c r="F68" t="s">
        <v>17</v>
      </c>
      <c r="G68" t="s">
        <v>394</v>
      </c>
    </row>
    <row r="69" spans="1:7" x14ac:dyDescent="0.45">
      <c r="A69" t="s">
        <v>19</v>
      </c>
      <c r="B69" s="1">
        <v>42774</v>
      </c>
      <c r="C69">
        <v>5</v>
      </c>
      <c r="D69" s="1">
        <v>42774</v>
      </c>
      <c r="E69" t="s">
        <v>123</v>
      </c>
      <c r="F69" t="s">
        <v>21</v>
      </c>
      <c r="G69" t="s">
        <v>394</v>
      </c>
    </row>
    <row r="70" spans="1:7" x14ac:dyDescent="0.45">
      <c r="A70" t="s">
        <v>19</v>
      </c>
      <c r="B70" s="1">
        <v>42776</v>
      </c>
      <c r="C70">
        <v>10</v>
      </c>
      <c r="D70" s="1">
        <v>42775</v>
      </c>
      <c r="E70" t="s">
        <v>122</v>
      </c>
      <c r="F70" t="s">
        <v>21</v>
      </c>
      <c r="G70" t="s">
        <v>394</v>
      </c>
    </row>
    <row r="71" spans="1:7" x14ac:dyDescent="0.45">
      <c r="A71" t="s">
        <v>15</v>
      </c>
      <c r="B71" s="1">
        <v>42783</v>
      </c>
      <c r="C71">
        <v>10</v>
      </c>
      <c r="D71" s="1">
        <v>42782</v>
      </c>
      <c r="E71" t="s">
        <v>121</v>
      </c>
      <c r="F71" t="s">
        <v>17</v>
      </c>
      <c r="G71" t="s">
        <v>394</v>
      </c>
    </row>
    <row r="72" spans="1:7" x14ac:dyDescent="0.45">
      <c r="A72" t="s">
        <v>19</v>
      </c>
      <c r="B72" s="1">
        <v>42786</v>
      </c>
      <c r="C72">
        <v>14</v>
      </c>
      <c r="D72" s="1">
        <v>42783</v>
      </c>
      <c r="E72" t="s">
        <v>120</v>
      </c>
      <c r="F72" t="s">
        <v>21</v>
      </c>
      <c r="G72" t="s">
        <v>394</v>
      </c>
    </row>
    <row r="73" spans="1:7" x14ac:dyDescent="0.45">
      <c r="A73" t="s">
        <v>19</v>
      </c>
      <c r="B73" s="1">
        <v>42790</v>
      </c>
      <c r="C73">
        <v>10</v>
      </c>
      <c r="D73" s="1">
        <v>42789</v>
      </c>
      <c r="E73" t="s">
        <v>119</v>
      </c>
      <c r="F73" t="s">
        <v>21</v>
      </c>
      <c r="G73" t="s">
        <v>394</v>
      </c>
    </row>
    <row r="74" spans="1:7" x14ac:dyDescent="0.45">
      <c r="A74" t="s">
        <v>15</v>
      </c>
      <c r="B74" s="1">
        <v>42800</v>
      </c>
      <c r="C74">
        <v>10</v>
      </c>
      <c r="D74" s="1">
        <v>42796</v>
      </c>
      <c r="E74" t="s">
        <v>118</v>
      </c>
      <c r="F74" t="s">
        <v>17</v>
      </c>
      <c r="G74" t="s">
        <v>394</v>
      </c>
    </row>
    <row r="75" spans="1:7" x14ac:dyDescent="0.45">
      <c r="A75" t="s">
        <v>19</v>
      </c>
      <c r="B75" s="1">
        <v>42802</v>
      </c>
      <c r="C75">
        <v>5</v>
      </c>
      <c r="D75" s="1">
        <v>42801</v>
      </c>
      <c r="E75" t="s">
        <v>117</v>
      </c>
      <c r="F75" t="s">
        <v>21</v>
      </c>
      <c r="G75" t="s">
        <v>394</v>
      </c>
    </row>
    <row r="76" spans="1:7" x14ac:dyDescent="0.45">
      <c r="A76" t="s">
        <v>114</v>
      </c>
      <c r="B76" s="1">
        <v>42804</v>
      </c>
      <c r="C76">
        <v>1</v>
      </c>
      <c r="D76" s="1">
        <v>42804</v>
      </c>
      <c r="E76" t="s">
        <v>115</v>
      </c>
      <c r="F76" t="s">
        <v>116</v>
      </c>
      <c r="G76" t="s">
        <v>394</v>
      </c>
    </row>
    <row r="77" spans="1:7" x14ac:dyDescent="0.45">
      <c r="A77" t="s">
        <v>19</v>
      </c>
      <c r="B77" s="1">
        <v>42816</v>
      </c>
      <c r="C77">
        <v>5</v>
      </c>
      <c r="D77" s="1">
        <v>42815</v>
      </c>
      <c r="E77" t="s">
        <v>113</v>
      </c>
      <c r="F77" t="s">
        <v>21</v>
      </c>
      <c r="G77" t="s">
        <v>394</v>
      </c>
    </row>
    <row r="78" spans="1:7" x14ac:dyDescent="0.45">
      <c r="A78" t="s">
        <v>15</v>
      </c>
      <c r="B78" s="1">
        <v>42824</v>
      </c>
      <c r="C78">
        <v>-40</v>
      </c>
      <c r="D78" s="1">
        <v>42817</v>
      </c>
      <c r="E78" t="s">
        <v>111</v>
      </c>
      <c r="F78" t="s">
        <v>17</v>
      </c>
      <c r="G78" t="s">
        <v>394</v>
      </c>
    </row>
    <row r="79" spans="1:7" x14ac:dyDescent="0.45">
      <c r="A79" t="s">
        <v>15</v>
      </c>
      <c r="B79" s="1">
        <v>42824</v>
      </c>
      <c r="C79">
        <v>40</v>
      </c>
      <c r="D79" s="1">
        <v>42817</v>
      </c>
      <c r="E79" t="s">
        <v>112</v>
      </c>
      <c r="F79" t="s">
        <v>17</v>
      </c>
      <c r="G79" t="s">
        <v>394</v>
      </c>
    </row>
    <row r="80" spans="1:7" x14ac:dyDescent="0.45">
      <c r="A80" t="s">
        <v>15</v>
      </c>
      <c r="B80" s="1">
        <v>42818</v>
      </c>
      <c r="C80">
        <v>40</v>
      </c>
      <c r="D80" s="1">
        <v>42817</v>
      </c>
      <c r="E80" t="s">
        <v>111</v>
      </c>
      <c r="F80" t="s">
        <v>17</v>
      </c>
      <c r="G80" t="s">
        <v>394</v>
      </c>
    </row>
    <row r="81" spans="1:7" x14ac:dyDescent="0.45">
      <c r="A81" t="s">
        <v>19</v>
      </c>
      <c r="B81" s="1">
        <v>42830</v>
      </c>
      <c r="C81">
        <v>1</v>
      </c>
      <c r="D81" s="1">
        <v>42829</v>
      </c>
      <c r="E81" t="s">
        <v>110</v>
      </c>
      <c r="F81" t="s">
        <v>21</v>
      </c>
      <c r="G81" t="s">
        <v>394</v>
      </c>
    </row>
    <row r="82" spans="1:7" x14ac:dyDescent="0.45">
      <c r="A82" t="s">
        <v>19</v>
      </c>
      <c r="B82" s="1">
        <v>42837</v>
      </c>
      <c r="C82">
        <v>7</v>
      </c>
      <c r="D82" s="1">
        <v>42836</v>
      </c>
      <c r="E82" t="s">
        <v>109</v>
      </c>
      <c r="F82" t="s">
        <v>21</v>
      </c>
      <c r="G82" t="s">
        <v>394</v>
      </c>
    </row>
    <row r="83" spans="1:7" x14ac:dyDescent="0.45">
      <c r="A83" t="s">
        <v>15</v>
      </c>
      <c r="B83" s="1">
        <v>42839</v>
      </c>
      <c r="C83">
        <v>25</v>
      </c>
      <c r="D83" s="1">
        <v>42838</v>
      </c>
      <c r="E83" t="s">
        <v>108</v>
      </c>
      <c r="F83" t="s">
        <v>17</v>
      </c>
      <c r="G83" t="s">
        <v>394</v>
      </c>
    </row>
    <row r="84" spans="1:7" x14ac:dyDescent="0.45">
      <c r="A84" t="s">
        <v>19</v>
      </c>
      <c r="B84" s="1">
        <v>42843</v>
      </c>
      <c r="C84">
        <v>5</v>
      </c>
      <c r="D84" s="1">
        <v>42842</v>
      </c>
      <c r="E84" t="s">
        <v>107</v>
      </c>
      <c r="F84" t="s">
        <v>21</v>
      </c>
      <c r="G84" t="s">
        <v>394</v>
      </c>
    </row>
    <row r="85" spans="1:7" x14ac:dyDescent="0.45">
      <c r="A85" t="s">
        <v>19</v>
      </c>
      <c r="B85" s="1">
        <v>42845</v>
      </c>
      <c r="C85">
        <v>5</v>
      </c>
      <c r="D85" s="1">
        <v>42844</v>
      </c>
      <c r="E85" t="s">
        <v>105</v>
      </c>
      <c r="F85" t="s">
        <v>21</v>
      </c>
      <c r="G85" t="s">
        <v>394</v>
      </c>
    </row>
    <row r="86" spans="1:7" x14ac:dyDescent="0.45">
      <c r="A86" t="s">
        <v>19</v>
      </c>
      <c r="B86" s="1">
        <v>42845</v>
      </c>
      <c r="C86">
        <v>10</v>
      </c>
      <c r="D86" s="1">
        <v>42844</v>
      </c>
      <c r="E86" t="s">
        <v>106</v>
      </c>
      <c r="F86" t="s">
        <v>21</v>
      </c>
      <c r="G86" t="s">
        <v>394</v>
      </c>
    </row>
    <row r="87" spans="1:7" x14ac:dyDescent="0.45">
      <c r="A87" t="s">
        <v>15</v>
      </c>
      <c r="B87" s="1">
        <v>42860</v>
      </c>
      <c r="C87">
        <v>25</v>
      </c>
      <c r="D87" s="1">
        <v>42859</v>
      </c>
      <c r="E87" t="s">
        <v>104</v>
      </c>
      <c r="F87" t="s">
        <v>17</v>
      </c>
      <c r="G87" t="s">
        <v>394</v>
      </c>
    </row>
    <row r="88" spans="1:7" x14ac:dyDescent="0.45">
      <c r="A88" t="s">
        <v>15</v>
      </c>
      <c r="B88" s="1">
        <v>42866</v>
      </c>
      <c r="C88">
        <v>12</v>
      </c>
      <c r="D88" s="1">
        <v>42865</v>
      </c>
      <c r="E88" t="s">
        <v>103</v>
      </c>
      <c r="F88" t="s">
        <v>17</v>
      </c>
      <c r="G88" t="s">
        <v>394</v>
      </c>
    </row>
    <row r="89" spans="1:7" x14ac:dyDescent="0.45">
      <c r="A89" t="s">
        <v>19</v>
      </c>
      <c r="B89" s="1">
        <v>42872</v>
      </c>
      <c r="C89">
        <v>1</v>
      </c>
      <c r="D89" s="1">
        <v>42871</v>
      </c>
      <c r="E89" t="s">
        <v>101</v>
      </c>
      <c r="F89" t="s">
        <v>21</v>
      </c>
      <c r="G89" t="s">
        <v>394</v>
      </c>
    </row>
    <row r="90" spans="1:7" x14ac:dyDescent="0.45">
      <c r="A90" t="s">
        <v>19</v>
      </c>
      <c r="B90" s="1">
        <v>42872</v>
      </c>
      <c r="C90">
        <v>5</v>
      </c>
      <c r="D90" s="1">
        <v>42871</v>
      </c>
      <c r="E90" t="s">
        <v>102</v>
      </c>
      <c r="F90" t="s">
        <v>21</v>
      </c>
      <c r="G90" t="s">
        <v>394</v>
      </c>
    </row>
    <row r="91" spans="1:7" x14ac:dyDescent="0.45">
      <c r="A91" t="s">
        <v>30</v>
      </c>
      <c r="B91" s="1">
        <v>42886</v>
      </c>
      <c r="C91">
        <v>1</v>
      </c>
      <c r="D91" s="1">
        <v>42886</v>
      </c>
      <c r="E91" t="s">
        <v>100</v>
      </c>
      <c r="F91" t="s">
        <v>32</v>
      </c>
      <c r="G91" t="s">
        <v>394</v>
      </c>
    </row>
    <row r="92" spans="1:7" x14ac:dyDescent="0.45">
      <c r="A92" t="s">
        <v>15</v>
      </c>
      <c r="B92" s="1">
        <v>42898</v>
      </c>
      <c r="C92">
        <v>18</v>
      </c>
      <c r="D92" s="1">
        <v>42895</v>
      </c>
      <c r="E92" t="s">
        <v>98</v>
      </c>
      <c r="F92" t="s">
        <v>17</v>
      </c>
      <c r="G92" t="s">
        <v>394</v>
      </c>
    </row>
    <row r="93" spans="1:7" x14ac:dyDescent="0.45">
      <c r="A93" t="s">
        <v>19</v>
      </c>
      <c r="B93" s="1">
        <v>42898</v>
      </c>
      <c r="C93">
        <v>7</v>
      </c>
      <c r="D93" s="1">
        <v>42895</v>
      </c>
      <c r="E93" t="s">
        <v>99</v>
      </c>
      <c r="F93" t="s">
        <v>21</v>
      </c>
      <c r="G93" t="s">
        <v>394</v>
      </c>
    </row>
    <row r="94" spans="1:7" x14ac:dyDescent="0.45">
      <c r="A94" t="s">
        <v>15</v>
      </c>
      <c r="B94" s="1">
        <v>42905</v>
      </c>
      <c r="C94">
        <v>20</v>
      </c>
      <c r="D94" s="1">
        <v>42902</v>
      </c>
      <c r="E94" t="s">
        <v>97</v>
      </c>
      <c r="F94" t="s">
        <v>17</v>
      </c>
      <c r="G94" t="s">
        <v>394</v>
      </c>
    </row>
    <row r="95" spans="1:7" x14ac:dyDescent="0.45">
      <c r="A95" t="s">
        <v>15</v>
      </c>
      <c r="B95" s="1">
        <v>42906</v>
      </c>
      <c r="C95">
        <v>7</v>
      </c>
      <c r="D95" s="1">
        <v>42905</v>
      </c>
      <c r="E95" t="s">
        <v>96</v>
      </c>
      <c r="F95" t="s">
        <v>17</v>
      </c>
      <c r="G95" t="s">
        <v>394</v>
      </c>
    </row>
    <row r="96" spans="1:7" x14ac:dyDescent="0.45">
      <c r="A96" t="s">
        <v>19</v>
      </c>
      <c r="B96" s="1">
        <v>42909</v>
      </c>
      <c r="C96">
        <v>2</v>
      </c>
      <c r="D96" s="1">
        <v>42908</v>
      </c>
      <c r="E96" t="s">
        <v>95</v>
      </c>
      <c r="F96" t="s">
        <v>21</v>
      </c>
      <c r="G96" t="s">
        <v>394</v>
      </c>
    </row>
    <row r="97" spans="1:7" x14ac:dyDescent="0.45">
      <c r="A97" t="s">
        <v>19</v>
      </c>
      <c r="B97" s="1">
        <v>42913</v>
      </c>
      <c r="C97">
        <v>1</v>
      </c>
      <c r="D97" s="1">
        <v>42912</v>
      </c>
      <c r="E97" t="s">
        <v>94</v>
      </c>
      <c r="F97" t="s">
        <v>21</v>
      </c>
      <c r="G97" t="s">
        <v>394</v>
      </c>
    </row>
    <row r="98" spans="1:7" x14ac:dyDescent="0.45">
      <c r="A98" t="s">
        <v>15</v>
      </c>
      <c r="B98" s="1">
        <v>42915</v>
      </c>
      <c r="C98">
        <v>25</v>
      </c>
      <c r="D98" s="1">
        <v>42914</v>
      </c>
      <c r="E98" t="s">
        <v>93</v>
      </c>
      <c r="F98" t="s">
        <v>17</v>
      </c>
      <c r="G98" t="s">
        <v>394</v>
      </c>
    </row>
    <row r="99" spans="1:7" x14ac:dyDescent="0.45">
      <c r="A99" t="s">
        <v>19</v>
      </c>
      <c r="B99" s="1">
        <v>42916</v>
      </c>
      <c r="C99">
        <v>10</v>
      </c>
      <c r="D99" s="1">
        <v>42916</v>
      </c>
      <c r="E99" t="s">
        <v>92</v>
      </c>
      <c r="F99" t="s">
        <v>21</v>
      </c>
      <c r="G99" t="s">
        <v>394</v>
      </c>
    </row>
    <row r="100" spans="1:7" x14ac:dyDescent="0.45">
      <c r="A100" t="s">
        <v>19</v>
      </c>
      <c r="B100" s="1">
        <v>42922</v>
      </c>
      <c r="C100">
        <v>8</v>
      </c>
      <c r="D100" s="1">
        <v>42922</v>
      </c>
      <c r="E100" t="s">
        <v>91</v>
      </c>
      <c r="F100" t="s">
        <v>21</v>
      </c>
      <c r="G100" t="s">
        <v>394</v>
      </c>
    </row>
    <row r="101" spans="1:7" x14ac:dyDescent="0.45">
      <c r="A101" t="s">
        <v>15</v>
      </c>
      <c r="B101" s="1">
        <v>42930</v>
      </c>
      <c r="C101">
        <v>15</v>
      </c>
      <c r="D101" s="1">
        <v>42930</v>
      </c>
      <c r="E101" t="s">
        <v>90</v>
      </c>
      <c r="F101" t="s">
        <v>17</v>
      </c>
      <c r="G101" t="s">
        <v>394</v>
      </c>
    </row>
    <row r="102" spans="1:7" x14ac:dyDescent="0.45">
      <c r="A102" t="s">
        <v>30</v>
      </c>
      <c r="B102" s="1">
        <v>42935</v>
      </c>
      <c r="C102">
        <v>2</v>
      </c>
      <c r="D102" s="1">
        <v>42934</v>
      </c>
      <c r="E102" t="s">
        <v>89</v>
      </c>
      <c r="F102" t="s">
        <v>32</v>
      </c>
      <c r="G102" t="s">
        <v>394</v>
      </c>
    </row>
    <row r="103" spans="1:7" x14ac:dyDescent="0.45">
      <c r="A103" t="s">
        <v>15</v>
      </c>
      <c r="B103" s="1">
        <v>42944</v>
      </c>
      <c r="C103">
        <v>10</v>
      </c>
      <c r="D103" s="1">
        <v>42943</v>
      </c>
      <c r="E103" t="s">
        <v>88</v>
      </c>
      <c r="F103" t="s">
        <v>17</v>
      </c>
      <c r="G103" t="s">
        <v>394</v>
      </c>
    </row>
    <row r="104" spans="1:7" x14ac:dyDescent="0.45">
      <c r="A104" t="s">
        <v>19</v>
      </c>
      <c r="B104" s="1">
        <v>42955</v>
      </c>
      <c r="C104">
        <v>7</v>
      </c>
      <c r="D104" s="1">
        <v>42954</v>
      </c>
      <c r="E104" t="s">
        <v>87</v>
      </c>
      <c r="F104" t="s">
        <v>21</v>
      </c>
      <c r="G104" t="s">
        <v>394</v>
      </c>
    </row>
    <row r="105" spans="1:7" x14ac:dyDescent="0.45">
      <c r="A105" t="s">
        <v>19</v>
      </c>
      <c r="B105" s="1">
        <v>42971</v>
      </c>
      <c r="C105">
        <v>2</v>
      </c>
      <c r="D105" s="1">
        <v>42970</v>
      </c>
      <c r="E105" t="s">
        <v>85</v>
      </c>
      <c r="F105" t="s">
        <v>21</v>
      </c>
      <c r="G105" t="s">
        <v>394</v>
      </c>
    </row>
    <row r="106" spans="1:7" x14ac:dyDescent="0.45">
      <c r="A106" t="s">
        <v>19</v>
      </c>
      <c r="B106" s="1">
        <v>42971</v>
      </c>
      <c r="C106">
        <v>9</v>
      </c>
      <c r="D106" s="1">
        <v>42970</v>
      </c>
      <c r="E106" t="s">
        <v>86</v>
      </c>
      <c r="F106" t="s">
        <v>21</v>
      </c>
      <c r="G106" t="s">
        <v>394</v>
      </c>
    </row>
    <row r="107" spans="1:7" x14ac:dyDescent="0.45">
      <c r="A107" t="s">
        <v>19</v>
      </c>
      <c r="B107" s="1">
        <v>43174</v>
      </c>
      <c r="C107">
        <v>-5</v>
      </c>
      <c r="D107" s="1">
        <v>42971</v>
      </c>
      <c r="E107" t="s">
        <v>35</v>
      </c>
      <c r="F107" t="s">
        <v>21</v>
      </c>
      <c r="G107" t="s">
        <v>394</v>
      </c>
    </row>
    <row r="108" spans="1:7" x14ac:dyDescent="0.45">
      <c r="A108" t="s">
        <v>19</v>
      </c>
      <c r="B108" s="1">
        <v>42971</v>
      </c>
      <c r="C108">
        <v>10</v>
      </c>
      <c r="D108" s="1">
        <v>42971</v>
      </c>
      <c r="E108" t="s">
        <v>35</v>
      </c>
      <c r="F108" t="s">
        <v>21</v>
      </c>
      <c r="G108" t="s">
        <v>394</v>
      </c>
    </row>
    <row r="109" spans="1:7" x14ac:dyDescent="0.45">
      <c r="A109" t="s">
        <v>19</v>
      </c>
      <c r="B109" s="1">
        <v>43178</v>
      </c>
      <c r="C109">
        <v>-1</v>
      </c>
      <c r="D109" s="1">
        <v>42975</v>
      </c>
      <c r="E109" t="s">
        <v>33</v>
      </c>
      <c r="F109" t="s">
        <v>21</v>
      </c>
      <c r="G109" t="s">
        <v>394</v>
      </c>
    </row>
    <row r="110" spans="1:7" x14ac:dyDescent="0.45">
      <c r="A110" t="s">
        <v>19</v>
      </c>
      <c r="B110" s="1">
        <v>42976</v>
      </c>
      <c r="C110">
        <v>3</v>
      </c>
      <c r="D110" s="1">
        <v>42975</v>
      </c>
      <c r="E110" t="s">
        <v>33</v>
      </c>
      <c r="F110" t="s">
        <v>21</v>
      </c>
      <c r="G110" t="s">
        <v>394</v>
      </c>
    </row>
    <row r="111" spans="1:7" x14ac:dyDescent="0.45">
      <c r="A111" t="s">
        <v>19</v>
      </c>
      <c r="B111" s="1">
        <v>42990</v>
      </c>
      <c r="C111">
        <v>6</v>
      </c>
      <c r="D111" s="1">
        <v>42989</v>
      </c>
      <c r="E111" t="s">
        <v>84</v>
      </c>
      <c r="F111" t="s">
        <v>21</v>
      </c>
      <c r="G111" t="s">
        <v>394</v>
      </c>
    </row>
    <row r="112" spans="1:7" x14ac:dyDescent="0.45">
      <c r="A112" t="s">
        <v>9</v>
      </c>
      <c r="B112" s="1">
        <v>42993</v>
      </c>
      <c r="C112">
        <v>15</v>
      </c>
      <c r="D112" s="1">
        <v>42992</v>
      </c>
      <c r="E112" t="s">
        <v>82</v>
      </c>
      <c r="F112" t="s">
        <v>11</v>
      </c>
      <c r="G112" t="s">
        <v>394</v>
      </c>
    </row>
    <row r="113" spans="1:7" x14ac:dyDescent="0.45">
      <c r="A113" t="s">
        <v>19</v>
      </c>
      <c r="B113" s="1">
        <v>42993</v>
      </c>
      <c r="C113">
        <v>10</v>
      </c>
      <c r="D113" s="1">
        <v>42992</v>
      </c>
      <c r="E113" t="s">
        <v>83</v>
      </c>
      <c r="F113" t="s">
        <v>21</v>
      </c>
      <c r="G113" t="s">
        <v>394</v>
      </c>
    </row>
    <row r="114" spans="1:7" x14ac:dyDescent="0.45">
      <c r="A114" t="s">
        <v>15</v>
      </c>
      <c r="B114" s="1">
        <v>43006</v>
      </c>
      <c r="C114">
        <v>9</v>
      </c>
      <c r="D114" s="1">
        <v>43006</v>
      </c>
      <c r="E114" t="s">
        <v>81</v>
      </c>
      <c r="F114" t="s">
        <v>17</v>
      </c>
      <c r="G114" t="s">
        <v>394</v>
      </c>
    </row>
    <row r="115" spans="1:7" x14ac:dyDescent="0.45">
      <c r="A115" t="s">
        <v>15</v>
      </c>
      <c r="B115" s="1">
        <v>43014</v>
      </c>
      <c r="C115">
        <v>16</v>
      </c>
      <c r="D115" s="1">
        <v>43014</v>
      </c>
      <c r="E115" t="s">
        <v>80</v>
      </c>
      <c r="F115" t="s">
        <v>17</v>
      </c>
      <c r="G115" t="s">
        <v>394</v>
      </c>
    </row>
    <row r="116" spans="1:7" x14ac:dyDescent="0.45">
      <c r="A116" t="s">
        <v>15</v>
      </c>
      <c r="B116" s="1">
        <v>43026</v>
      </c>
      <c r="C116">
        <v>11</v>
      </c>
      <c r="D116" s="1">
        <v>43025</v>
      </c>
      <c r="E116" t="s">
        <v>79</v>
      </c>
      <c r="F116" t="s">
        <v>17</v>
      </c>
      <c r="G116" t="s">
        <v>394</v>
      </c>
    </row>
    <row r="117" spans="1:7" x14ac:dyDescent="0.45">
      <c r="A117" t="s">
        <v>15</v>
      </c>
      <c r="B117" s="1">
        <v>43028</v>
      </c>
      <c r="C117">
        <v>14</v>
      </c>
      <c r="D117" s="1">
        <v>43027</v>
      </c>
      <c r="E117" t="s">
        <v>78</v>
      </c>
      <c r="F117" t="s">
        <v>17</v>
      </c>
      <c r="G117" t="s">
        <v>394</v>
      </c>
    </row>
    <row r="118" spans="1:7" x14ac:dyDescent="0.45">
      <c r="A118" t="s">
        <v>19</v>
      </c>
      <c r="B118" s="1">
        <v>43039</v>
      </c>
      <c r="C118">
        <v>10</v>
      </c>
      <c r="D118" s="1">
        <v>43038</v>
      </c>
      <c r="E118" t="s">
        <v>77</v>
      </c>
      <c r="F118" t="s">
        <v>21</v>
      </c>
      <c r="G118" t="s">
        <v>394</v>
      </c>
    </row>
    <row r="119" spans="1:7" x14ac:dyDescent="0.45">
      <c r="A119" t="s">
        <v>30</v>
      </c>
      <c r="B119" s="1">
        <v>43041</v>
      </c>
      <c r="C119">
        <v>6</v>
      </c>
      <c r="D119" s="1">
        <v>43040</v>
      </c>
      <c r="E119" t="s">
        <v>76</v>
      </c>
      <c r="F119" t="s">
        <v>32</v>
      </c>
      <c r="G119" t="s">
        <v>394</v>
      </c>
    </row>
    <row r="120" spans="1:7" x14ac:dyDescent="0.45">
      <c r="A120" t="s">
        <v>15</v>
      </c>
      <c r="B120" s="1">
        <v>43046</v>
      </c>
      <c r="C120">
        <v>25</v>
      </c>
      <c r="D120" s="1">
        <v>43045</v>
      </c>
      <c r="E120" t="s">
        <v>75</v>
      </c>
      <c r="F120" t="s">
        <v>17</v>
      </c>
      <c r="G120" t="s">
        <v>394</v>
      </c>
    </row>
    <row r="121" spans="1:7" x14ac:dyDescent="0.45">
      <c r="A121" t="s">
        <v>9</v>
      </c>
      <c r="B121" s="1">
        <v>43053</v>
      </c>
      <c r="C121">
        <v>25</v>
      </c>
      <c r="D121" s="1">
        <v>43052</v>
      </c>
      <c r="E121" t="s">
        <v>74</v>
      </c>
      <c r="F121" t="s">
        <v>11</v>
      </c>
      <c r="G121" t="s">
        <v>394</v>
      </c>
    </row>
    <row r="122" spans="1:7" x14ac:dyDescent="0.45">
      <c r="A122" t="s">
        <v>19</v>
      </c>
      <c r="B122" s="1">
        <v>43054</v>
      </c>
      <c r="C122">
        <v>10</v>
      </c>
      <c r="D122" s="1">
        <v>43053</v>
      </c>
      <c r="E122" t="s">
        <v>73</v>
      </c>
      <c r="F122" t="s">
        <v>21</v>
      </c>
      <c r="G122" t="s">
        <v>394</v>
      </c>
    </row>
    <row r="123" spans="1:7" x14ac:dyDescent="0.45">
      <c r="A123" t="s">
        <v>19</v>
      </c>
      <c r="B123" s="1">
        <v>43174</v>
      </c>
      <c r="C123">
        <v>-4</v>
      </c>
      <c r="D123" s="1">
        <v>43056</v>
      </c>
      <c r="E123" t="s">
        <v>36</v>
      </c>
      <c r="F123" t="s">
        <v>21</v>
      </c>
      <c r="G123" t="s">
        <v>394</v>
      </c>
    </row>
    <row r="124" spans="1:7" x14ac:dyDescent="0.45">
      <c r="A124" t="s">
        <v>19</v>
      </c>
      <c r="B124" s="1">
        <v>43059</v>
      </c>
      <c r="C124">
        <v>9</v>
      </c>
      <c r="D124" s="1">
        <v>43056</v>
      </c>
      <c r="E124" t="s">
        <v>36</v>
      </c>
      <c r="F124" t="s">
        <v>21</v>
      </c>
      <c r="G124" t="s">
        <v>394</v>
      </c>
    </row>
    <row r="125" spans="1:7" x14ac:dyDescent="0.45">
      <c r="A125" t="s">
        <v>9</v>
      </c>
      <c r="B125" s="1">
        <v>43060</v>
      </c>
      <c r="C125">
        <v>14</v>
      </c>
      <c r="D125" s="1">
        <v>43059</v>
      </c>
      <c r="E125" t="s">
        <v>71</v>
      </c>
      <c r="F125" t="s">
        <v>11</v>
      </c>
      <c r="G125" t="s">
        <v>394</v>
      </c>
    </row>
    <row r="126" spans="1:7" x14ac:dyDescent="0.45">
      <c r="A126" t="s">
        <v>19</v>
      </c>
      <c r="B126" s="1">
        <v>43060</v>
      </c>
      <c r="C126">
        <v>3</v>
      </c>
      <c r="D126" s="1">
        <v>43059</v>
      </c>
      <c r="E126" t="s">
        <v>72</v>
      </c>
      <c r="F126" t="s">
        <v>21</v>
      </c>
      <c r="G126" t="s">
        <v>394</v>
      </c>
    </row>
    <row r="127" spans="1:7" x14ac:dyDescent="0.45">
      <c r="A127" t="s">
        <v>9</v>
      </c>
      <c r="B127" s="1">
        <v>43068</v>
      </c>
      <c r="C127">
        <v>12</v>
      </c>
      <c r="D127" s="1">
        <v>43067</v>
      </c>
      <c r="E127" t="s">
        <v>70</v>
      </c>
      <c r="F127" t="s">
        <v>11</v>
      </c>
      <c r="G127" t="s">
        <v>394</v>
      </c>
    </row>
    <row r="128" spans="1:7" x14ac:dyDescent="0.45">
      <c r="A128" t="s">
        <v>9</v>
      </c>
      <c r="B128" s="1">
        <v>43073</v>
      </c>
      <c r="C128">
        <v>25</v>
      </c>
      <c r="D128" s="1">
        <v>43070</v>
      </c>
      <c r="E128" t="s">
        <v>69</v>
      </c>
      <c r="F128" t="s">
        <v>11</v>
      </c>
      <c r="G128" t="s">
        <v>394</v>
      </c>
    </row>
    <row r="129" spans="1:7" x14ac:dyDescent="0.45">
      <c r="A129" t="s">
        <v>19</v>
      </c>
      <c r="B129" s="1">
        <v>43076</v>
      </c>
      <c r="C129">
        <v>10</v>
      </c>
      <c r="D129" s="1">
        <v>43075</v>
      </c>
      <c r="E129" t="s">
        <v>66</v>
      </c>
      <c r="F129" t="s">
        <v>21</v>
      </c>
      <c r="G129" t="s">
        <v>394</v>
      </c>
    </row>
    <row r="130" spans="1:7" x14ac:dyDescent="0.45">
      <c r="A130" t="s">
        <v>19</v>
      </c>
      <c r="B130" s="1">
        <v>43076</v>
      </c>
      <c r="C130">
        <v>6</v>
      </c>
      <c r="D130" s="1">
        <v>43075</v>
      </c>
      <c r="E130" t="s">
        <v>67</v>
      </c>
      <c r="F130" t="s">
        <v>21</v>
      </c>
      <c r="G130" t="s">
        <v>394</v>
      </c>
    </row>
    <row r="131" spans="1:7" x14ac:dyDescent="0.45">
      <c r="A131" t="s">
        <v>19</v>
      </c>
      <c r="B131" s="1">
        <v>43076</v>
      </c>
      <c r="C131">
        <v>4</v>
      </c>
      <c r="D131" s="1">
        <v>43075</v>
      </c>
      <c r="E131" t="s">
        <v>68</v>
      </c>
      <c r="F131" t="s">
        <v>21</v>
      </c>
      <c r="G131" t="s">
        <v>394</v>
      </c>
    </row>
    <row r="132" spans="1:7" x14ac:dyDescent="0.45">
      <c r="A132" t="s">
        <v>63</v>
      </c>
      <c r="B132" s="1">
        <v>43077</v>
      </c>
      <c r="C132">
        <v>9</v>
      </c>
      <c r="D132" s="1">
        <v>43076</v>
      </c>
      <c r="E132" t="s">
        <v>64</v>
      </c>
      <c r="F132" t="s">
        <v>65</v>
      </c>
      <c r="G132" t="s">
        <v>394</v>
      </c>
    </row>
    <row r="133" spans="1:7" x14ac:dyDescent="0.45">
      <c r="A133" t="s">
        <v>19</v>
      </c>
      <c r="B133" s="1">
        <v>43174</v>
      </c>
      <c r="C133">
        <v>-6</v>
      </c>
      <c r="D133" s="1">
        <v>43077</v>
      </c>
      <c r="E133" t="s">
        <v>37</v>
      </c>
      <c r="F133" t="s">
        <v>21</v>
      </c>
      <c r="G133" t="s">
        <v>394</v>
      </c>
    </row>
    <row r="134" spans="1:7" x14ac:dyDescent="0.45">
      <c r="A134" t="s">
        <v>19</v>
      </c>
      <c r="B134" s="1">
        <v>43080</v>
      </c>
      <c r="C134">
        <v>9</v>
      </c>
      <c r="D134" s="1">
        <v>43077</v>
      </c>
      <c r="E134" t="s">
        <v>37</v>
      </c>
      <c r="F134" t="s">
        <v>21</v>
      </c>
      <c r="G134" t="s">
        <v>394</v>
      </c>
    </row>
    <row r="135" spans="1:7" x14ac:dyDescent="0.45">
      <c r="A135" t="s">
        <v>9</v>
      </c>
      <c r="B135" s="1">
        <v>43081</v>
      </c>
      <c r="C135">
        <v>12</v>
      </c>
      <c r="D135" s="1">
        <v>43080</v>
      </c>
      <c r="E135" t="s">
        <v>62</v>
      </c>
      <c r="F135" t="s">
        <v>11</v>
      </c>
      <c r="G135" t="s">
        <v>394</v>
      </c>
    </row>
    <row r="136" spans="1:7" x14ac:dyDescent="0.45">
      <c r="A136" t="s">
        <v>19</v>
      </c>
      <c r="B136" s="1">
        <v>43084</v>
      </c>
      <c r="C136">
        <v>9</v>
      </c>
      <c r="D136" s="1">
        <v>43083</v>
      </c>
      <c r="E136" t="s">
        <v>61</v>
      </c>
      <c r="F136" t="s">
        <v>21</v>
      </c>
      <c r="G136" t="s">
        <v>394</v>
      </c>
    </row>
    <row r="137" spans="1:7" x14ac:dyDescent="0.45">
      <c r="A137" t="s">
        <v>19</v>
      </c>
      <c r="B137" s="1">
        <v>43091</v>
      </c>
      <c r="C137">
        <v>11</v>
      </c>
      <c r="D137" s="1">
        <v>43090</v>
      </c>
      <c r="E137" t="s">
        <v>60</v>
      </c>
      <c r="F137" t="s">
        <v>21</v>
      </c>
      <c r="G137" t="s">
        <v>394</v>
      </c>
    </row>
    <row r="138" spans="1:7" x14ac:dyDescent="0.45">
      <c r="A138" t="s">
        <v>9</v>
      </c>
      <c r="B138" s="1">
        <v>43097</v>
      </c>
      <c r="C138">
        <v>12</v>
      </c>
      <c r="D138" s="1">
        <v>43096</v>
      </c>
      <c r="E138" t="s">
        <v>58</v>
      </c>
      <c r="F138" t="s">
        <v>11</v>
      </c>
      <c r="G138" t="s">
        <v>394</v>
      </c>
    </row>
    <row r="139" spans="1:7" x14ac:dyDescent="0.45">
      <c r="A139" t="s">
        <v>19</v>
      </c>
      <c r="B139" s="1">
        <v>43097</v>
      </c>
      <c r="C139">
        <v>9</v>
      </c>
      <c r="D139" s="1">
        <v>43096</v>
      </c>
      <c r="E139" t="s">
        <v>59</v>
      </c>
      <c r="F139" t="s">
        <v>21</v>
      </c>
      <c r="G139" t="s">
        <v>394</v>
      </c>
    </row>
    <row r="140" spans="1:7" x14ac:dyDescent="0.45">
      <c r="A140" t="s">
        <v>19</v>
      </c>
      <c r="B140" s="1">
        <v>43098</v>
      </c>
      <c r="C140">
        <v>30</v>
      </c>
      <c r="D140" s="1">
        <v>43098</v>
      </c>
      <c r="E140" t="s">
        <v>57</v>
      </c>
      <c r="F140" t="s">
        <v>21</v>
      </c>
      <c r="G140" t="s">
        <v>394</v>
      </c>
    </row>
    <row r="141" spans="1:7" x14ac:dyDescent="0.45">
      <c r="A141" t="s">
        <v>9</v>
      </c>
      <c r="B141" s="1">
        <v>43103</v>
      </c>
      <c r="C141">
        <v>11</v>
      </c>
      <c r="D141" s="1">
        <v>43102</v>
      </c>
      <c r="E141" t="s">
        <v>53</v>
      </c>
      <c r="F141" t="s">
        <v>11</v>
      </c>
      <c r="G141" t="s">
        <v>394</v>
      </c>
    </row>
    <row r="142" spans="1:7" x14ac:dyDescent="0.45">
      <c r="A142" t="s">
        <v>54</v>
      </c>
      <c r="B142" s="1">
        <v>43103</v>
      </c>
      <c r="C142">
        <v>1</v>
      </c>
      <c r="D142" s="1">
        <v>43102</v>
      </c>
      <c r="E142" t="s">
        <v>55</v>
      </c>
      <c r="F142" t="s">
        <v>56</v>
      </c>
      <c r="G142" t="s">
        <v>394</v>
      </c>
    </row>
    <row r="143" spans="1:7" x14ac:dyDescent="0.45">
      <c r="A143" t="s">
        <v>19</v>
      </c>
      <c r="B143" s="1">
        <v>43105</v>
      </c>
      <c r="C143">
        <v>6</v>
      </c>
      <c r="D143" s="1">
        <v>43104</v>
      </c>
      <c r="E143" t="s">
        <v>52</v>
      </c>
      <c r="F143" t="s">
        <v>21</v>
      </c>
      <c r="G143" t="s">
        <v>394</v>
      </c>
    </row>
    <row r="144" spans="1:7" x14ac:dyDescent="0.45">
      <c r="A144" t="s">
        <v>19</v>
      </c>
      <c r="B144" s="1">
        <v>43111</v>
      </c>
      <c r="C144">
        <v>6</v>
      </c>
      <c r="D144" s="1">
        <v>43110</v>
      </c>
      <c r="E144" t="s">
        <v>51</v>
      </c>
      <c r="F144" t="s">
        <v>21</v>
      </c>
      <c r="G144" t="s">
        <v>394</v>
      </c>
    </row>
    <row r="145" spans="1:7" x14ac:dyDescent="0.45">
      <c r="A145" t="s">
        <v>19</v>
      </c>
      <c r="B145" s="1">
        <v>43111</v>
      </c>
      <c r="C145">
        <v>2</v>
      </c>
      <c r="D145" s="1">
        <v>43110</v>
      </c>
      <c r="E145" t="s">
        <v>51</v>
      </c>
      <c r="F145" t="s">
        <v>21</v>
      </c>
      <c r="G145" t="s">
        <v>394</v>
      </c>
    </row>
    <row r="146" spans="1:7" x14ac:dyDescent="0.45">
      <c r="A146" t="s">
        <v>19</v>
      </c>
      <c r="B146" s="1">
        <v>43117</v>
      </c>
      <c r="C146">
        <v>25</v>
      </c>
      <c r="D146" s="1">
        <v>43116</v>
      </c>
      <c r="E146" t="s">
        <v>50</v>
      </c>
      <c r="F146" t="s">
        <v>21</v>
      </c>
      <c r="G146" t="s">
        <v>394</v>
      </c>
    </row>
    <row r="147" spans="1:7" x14ac:dyDescent="0.45">
      <c r="A147" t="s">
        <v>19</v>
      </c>
      <c r="B147" s="1">
        <v>43119</v>
      </c>
      <c r="C147">
        <v>9</v>
      </c>
      <c r="D147" s="1">
        <v>43118</v>
      </c>
      <c r="E147" t="s">
        <v>49</v>
      </c>
      <c r="F147" t="s">
        <v>21</v>
      </c>
      <c r="G147" t="s">
        <v>394</v>
      </c>
    </row>
    <row r="148" spans="1:7" x14ac:dyDescent="0.45">
      <c r="A148" t="s">
        <v>19</v>
      </c>
      <c r="B148" s="1">
        <v>43122</v>
      </c>
      <c r="C148">
        <v>8</v>
      </c>
      <c r="D148" s="1">
        <v>43119</v>
      </c>
      <c r="E148" t="s">
        <v>48</v>
      </c>
      <c r="F148" t="s">
        <v>21</v>
      </c>
      <c r="G148" t="s">
        <v>394</v>
      </c>
    </row>
    <row r="149" spans="1:7" x14ac:dyDescent="0.45">
      <c r="A149" t="s">
        <v>19</v>
      </c>
      <c r="B149" s="1">
        <v>43124</v>
      </c>
      <c r="C149">
        <v>46</v>
      </c>
      <c r="D149" s="1">
        <v>43123</v>
      </c>
      <c r="E149" t="s">
        <v>46</v>
      </c>
      <c r="F149" t="s">
        <v>21</v>
      </c>
      <c r="G149" t="s">
        <v>394</v>
      </c>
    </row>
    <row r="150" spans="1:7" x14ac:dyDescent="0.45">
      <c r="A150" t="s">
        <v>19</v>
      </c>
      <c r="B150" s="1">
        <v>43124</v>
      </c>
      <c r="C150">
        <v>16</v>
      </c>
      <c r="D150" s="1">
        <v>43123</v>
      </c>
      <c r="E150" t="s">
        <v>47</v>
      </c>
      <c r="F150" t="s">
        <v>21</v>
      </c>
      <c r="G150" t="s">
        <v>394</v>
      </c>
    </row>
    <row r="151" spans="1:7" x14ac:dyDescent="0.45">
      <c r="A151" t="s">
        <v>15</v>
      </c>
      <c r="B151" s="1">
        <v>43126</v>
      </c>
      <c r="C151">
        <v>12</v>
      </c>
      <c r="D151" s="1">
        <v>43125</v>
      </c>
      <c r="E151" t="s">
        <v>45</v>
      </c>
      <c r="F151" t="s">
        <v>17</v>
      </c>
      <c r="G151" t="s">
        <v>394</v>
      </c>
    </row>
    <row r="152" spans="1:7" x14ac:dyDescent="0.45">
      <c r="A152" t="s">
        <v>19</v>
      </c>
      <c r="B152" s="1">
        <v>43131</v>
      </c>
      <c r="C152">
        <v>1</v>
      </c>
      <c r="D152" s="1">
        <v>43130</v>
      </c>
      <c r="E152" t="s">
        <v>44</v>
      </c>
      <c r="F152" t="s">
        <v>21</v>
      </c>
      <c r="G152" t="s">
        <v>394</v>
      </c>
    </row>
    <row r="153" spans="1:7" x14ac:dyDescent="0.45">
      <c r="A153" t="s">
        <v>19</v>
      </c>
      <c r="B153" s="1">
        <v>43146</v>
      </c>
      <c r="C153">
        <v>45</v>
      </c>
      <c r="D153" s="1">
        <v>43145</v>
      </c>
      <c r="E153" t="s">
        <v>43</v>
      </c>
      <c r="F153" t="s">
        <v>21</v>
      </c>
      <c r="G153" t="s">
        <v>394</v>
      </c>
    </row>
    <row r="154" spans="1:7" x14ac:dyDescent="0.45">
      <c r="A154" t="s">
        <v>15</v>
      </c>
      <c r="B154" s="1">
        <v>43150</v>
      </c>
      <c r="C154">
        <v>12</v>
      </c>
      <c r="D154" s="1">
        <v>43147</v>
      </c>
      <c r="E154" t="s">
        <v>42</v>
      </c>
      <c r="F154" t="s">
        <v>17</v>
      </c>
      <c r="G154" t="s">
        <v>394</v>
      </c>
    </row>
    <row r="155" spans="1:7" x14ac:dyDescent="0.45">
      <c r="A155" t="s">
        <v>15</v>
      </c>
      <c r="B155" s="1">
        <v>43152</v>
      </c>
      <c r="C155">
        <v>25</v>
      </c>
      <c r="D155" s="1">
        <v>43151</v>
      </c>
      <c r="E155" t="s">
        <v>41</v>
      </c>
      <c r="F155" t="s">
        <v>17</v>
      </c>
      <c r="G155" t="s">
        <v>394</v>
      </c>
    </row>
    <row r="156" spans="1:7" x14ac:dyDescent="0.45">
      <c r="A156" t="s">
        <v>15</v>
      </c>
      <c r="B156" s="1">
        <v>43159</v>
      </c>
      <c r="C156">
        <v>25</v>
      </c>
      <c r="D156" s="1">
        <v>43158</v>
      </c>
      <c r="E156" t="s">
        <v>39</v>
      </c>
      <c r="F156" t="s">
        <v>17</v>
      </c>
      <c r="G156" t="s">
        <v>394</v>
      </c>
    </row>
    <row r="157" spans="1:7" x14ac:dyDescent="0.45">
      <c r="A157" t="s">
        <v>9</v>
      </c>
      <c r="B157" s="1">
        <v>43159</v>
      </c>
      <c r="C157">
        <v>8</v>
      </c>
      <c r="D157" s="1">
        <v>43159</v>
      </c>
      <c r="E157" t="s">
        <v>40</v>
      </c>
      <c r="F157" t="s">
        <v>11</v>
      </c>
      <c r="G157" t="s">
        <v>394</v>
      </c>
    </row>
    <row r="158" spans="1:7" x14ac:dyDescent="0.45">
      <c r="A158" t="s">
        <v>9</v>
      </c>
      <c r="B158" s="1">
        <v>43173</v>
      </c>
      <c r="C158">
        <v>15</v>
      </c>
      <c r="D158" s="1">
        <v>43172</v>
      </c>
      <c r="E158" t="s">
        <v>38</v>
      </c>
      <c r="F158" t="s">
        <v>11</v>
      </c>
      <c r="G158" t="s">
        <v>394</v>
      </c>
    </row>
    <row r="159" spans="1:7" x14ac:dyDescent="0.45">
      <c r="A159" t="s">
        <v>19</v>
      </c>
      <c r="B159" s="1">
        <v>43178</v>
      </c>
      <c r="C159">
        <v>45</v>
      </c>
      <c r="D159" s="1">
        <v>43175</v>
      </c>
      <c r="E159" t="s">
        <v>34</v>
      </c>
      <c r="F159" t="s">
        <v>21</v>
      </c>
      <c r="G159" t="s">
        <v>394</v>
      </c>
    </row>
    <row r="160" spans="1:7" x14ac:dyDescent="0.45">
      <c r="A160" t="s">
        <v>30</v>
      </c>
      <c r="B160" s="1">
        <v>43187</v>
      </c>
      <c r="C160">
        <v>2</v>
      </c>
      <c r="D160" s="1">
        <v>43186</v>
      </c>
      <c r="E160" t="s">
        <v>31</v>
      </c>
      <c r="F160" t="s">
        <v>32</v>
      </c>
      <c r="G160" t="s">
        <v>394</v>
      </c>
    </row>
    <row r="161" spans="1:7" x14ac:dyDescent="0.45">
      <c r="A161" t="s">
        <v>19</v>
      </c>
      <c r="B161" s="1">
        <v>43189</v>
      </c>
      <c r="C161">
        <v>21</v>
      </c>
      <c r="D161" s="1">
        <v>43189</v>
      </c>
      <c r="E161" t="s">
        <v>29</v>
      </c>
      <c r="F161" t="s">
        <v>21</v>
      </c>
      <c r="G161" t="s">
        <v>394</v>
      </c>
    </row>
    <row r="162" spans="1:7" x14ac:dyDescent="0.45">
      <c r="A162" t="s">
        <v>15</v>
      </c>
      <c r="B162" s="1">
        <v>43202</v>
      </c>
      <c r="C162">
        <v>40</v>
      </c>
      <c r="D162" s="1">
        <v>43201</v>
      </c>
      <c r="E162" t="s">
        <v>28</v>
      </c>
      <c r="F162" t="s">
        <v>17</v>
      </c>
      <c r="G162" t="s">
        <v>394</v>
      </c>
    </row>
    <row r="163" spans="1:7" x14ac:dyDescent="0.45">
      <c r="A163" t="s">
        <v>19</v>
      </c>
      <c r="B163" s="1">
        <v>43207</v>
      </c>
      <c r="C163">
        <v>60</v>
      </c>
      <c r="D163" s="1">
        <v>43206</v>
      </c>
      <c r="E163" t="s">
        <v>27</v>
      </c>
      <c r="F163" t="s">
        <v>21</v>
      </c>
      <c r="G163" t="s">
        <v>394</v>
      </c>
    </row>
    <row r="164" spans="1:7" x14ac:dyDescent="0.45">
      <c r="A164" t="s">
        <v>15</v>
      </c>
      <c r="B164" s="1">
        <v>43220</v>
      </c>
      <c r="C164">
        <v>45</v>
      </c>
      <c r="D164" s="1">
        <v>43220</v>
      </c>
      <c r="E164" t="s">
        <v>26</v>
      </c>
      <c r="F164" t="s">
        <v>17</v>
      </c>
      <c r="G164" t="s">
        <v>394</v>
      </c>
    </row>
    <row r="165" spans="1:7" x14ac:dyDescent="0.45">
      <c r="A165" t="s">
        <v>15</v>
      </c>
      <c r="B165" s="1">
        <v>43228</v>
      </c>
      <c r="C165">
        <v>35</v>
      </c>
      <c r="D165" s="1">
        <v>43228</v>
      </c>
      <c r="E165" t="s">
        <v>25</v>
      </c>
      <c r="F165" t="s">
        <v>17</v>
      </c>
      <c r="G165" t="s">
        <v>394</v>
      </c>
    </row>
    <row r="166" spans="1:7" x14ac:dyDescent="0.45">
      <c r="A166" t="s">
        <v>19</v>
      </c>
      <c r="B166" s="1">
        <v>43231</v>
      </c>
      <c r="C166">
        <v>30</v>
      </c>
      <c r="D166" s="1">
        <v>43230</v>
      </c>
      <c r="E166" t="s">
        <v>20</v>
      </c>
      <c r="F166" t="s">
        <v>21</v>
      </c>
      <c r="G166" t="s">
        <v>394</v>
      </c>
    </row>
    <row r="167" spans="1:7" x14ac:dyDescent="0.45">
      <c r="A167" t="s">
        <v>22</v>
      </c>
      <c r="B167" s="1">
        <v>43231</v>
      </c>
      <c r="C167">
        <v>4</v>
      </c>
      <c r="D167" s="1">
        <v>43230</v>
      </c>
      <c r="E167" t="s">
        <v>23</v>
      </c>
      <c r="F167" t="s">
        <v>24</v>
      </c>
      <c r="G167" t="s">
        <v>394</v>
      </c>
    </row>
    <row r="168" spans="1:7" x14ac:dyDescent="0.45">
      <c r="A168" t="s">
        <v>9</v>
      </c>
      <c r="B168" s="1">
        <v>43235</v>
      </c>
      <c r="C168">
        <v>19</v>
      </c>
      <c r="D168" s="1">
        <v>43234</v>
      </c>
      <c r="E168" t="s">
        <v>18</v>
      </c>
      <c r="F168" t="s">
        <v>11</v>
      </c>
      <c r="G168" t="s">
        <v>394</v>
      </c>
    </row>
    <row r="169" spans="1:7" x14ac:dyDescent="0.45">
      <c r="A169" t="s">
        <v>15</v>
      </c>
      <c r="B169" s="1">
        <v>43238</v>
      </c>
      <c r="C169">
        <v>55</v>
      </c>
      <c r="D169" s="1">
        <v>43237</v>
      </c>
      <c r="E169" t="s">
        <v>16</v>
      </c>
      <c r="F169" t="s">
        <v>17</v>
      </c>
      <c r="G169" t="s">
        <v>394</v>
      </c>
    </row>
    <row r="170" spans="1:7" x14ac:dyDescent="0.45">
      <c r="A170" t="s">
        <v>9</v>
      </c>
      <c r="B170" s="1">
        <v>43245</v>
      </c>
      <c r="C170">
        <v>9</v>
      </c>
      <c r="D170" s="1">
        <v>43244</v>
      </c>
      <c r="E170" t="s">
        <v>14</v>
      </c>
      <c r="F170" t="s">
        <v>11</v>
      </c>
      <c r="G170" t="s">
        <v>394</v>
      </c>
    </row>
    <row r="171" spans="1:7" x14ac:dyDescent="0.45">
      <c r="A171" t="s">
        <v>6</v>
      </c>
      <c r="B171" s="1">
        <v>43250</v>
      </c>
      <c r="C171">
        <v>7</v>
      </c>
      <c r="D171" s="1">
        <v>43250</v>
      </c>
      <c r="E171" t="s">
        <v>13</v>
      </c>
      <c r="F171" t="s">
        <v>8</v>
      </c>
      <c r="G171" t="s">
        <v>394</v>
      </c>
    </row>
    <row r="172" spans="1:7" x14ac:dyDescent="0.45">
      <c r="A172" t="s">
        <v>6</v>
      </c>
      <c r="B172" s="1">
        <v>43257</v>
      </c>
      <c r="C172">
        <v>8</v>
      </c>
      <c r="D172" s="1">
        <v>43256</v>
      </c>
      <c r="E172" t="s">
        <v>12</v>
      </c>
      <c r="F172" t="s">
        <v>8</v>
      </c>
      <c r="G172" t="s">
        <v>394</v>
      </c>
    </row>
    <row r="173" spans="1:7" x14ac:dyDescent="0.45">
      <c r="A173" t="s">
        <v>9</v>
      </c>
      <c r="B173" s="1">
        <v>43263</v>
      </c>
      <c r="C173">
        <v>14</v>
      </c>
      <c r="D173" s="1">
        <v>43262</v>
      </c>
      <c r="E173" t="s">
        <v>10</v>
      </c>
      <c r="F173" t="s">
        <v>11</v>
      </c>
      <c r="G173" t="s">
        <v>394</v>
      </c>
    </row>
    <row r="174" spans="1:7" x14ac:dyDescent="0.45">
      <c r="A174" t="s">
        <v>6</v>
      </c>
      <c r="B174" s="1">
        <v>43264</v>
      </c>
      <c r="C174">
        <v>10</v>
      </c>
      <c r="D174" s="1">
        <v>43263</v>
      </c>
      <c r="E174" t="s">
        <v>7</v>
      </c>
      <c r="F174" t="s">
        <v>8</v>
      </c>
      <c r="G174" t="s">
        <v>394</v>
      </c>
    </row>
    <row r="175" spans="1:7" x14ac:dyDescent="0.45">
      <c r="A175" t="s">
        <v>19</v>
      </c>
      <c r="B175" s="1">
        <v>42366</v>
      </c>
      <c r="C175">
        <v>10</v>
      </c>
      <c r="D175" s="1">
        <v>42366</v>
      </c>
      <c r="E175" t="s">
        <v>196</v>
      </c>
      <c r="F175" t="s">
        <v>21</v>
      </c>
      <c r="G175" t="s">
        <v>394</v>
      </c>
    </row>
    <row r="176" spans="1:7" x14ac:dyDescent="0.45">
      <c r="A176" t="s">
        <v>19</v>
      </c>
      <c r="B176" s="1">
        <v>42366</v>
      </c>
      <c r="C176">
        <v>12</v>
      </c>
      <c r="D176" s="1">
        <v>42366</v>
      </c>
      <c r="E176" t="s">
        <v>197</v>
      </c>
      <c r="F176" t="s">
        <v>21</v>
      </c>
      <c r="G176" t="s">
        <v>394</v>
      </c>
    </row>
    <row r="177" spans="1:7" x14ac:dyDescent="0.45">
      <c r="A177" t="s">
        <v>114</v>
      </c>
      <c r="B177" s="1">
        <v>42346</v>
      </c>
      <c r="C177">
        <v>26</v>
      </c>
      <c r="D177" s="1">
        <v>42346</v>
      </c>
      <c r="E177" t="s">
        <v>198</v>
      </c>
      <c r="F177" t="s">
        <v>116</v>
      </c>
      <c r="G177" t="s">
        <v>394</v>
      </c>
    </row>
    <row r="178" spans="1:7" x14ac:dyDescent="0.45">
      <c r="A178" t="s">
        <v>19</v>
      </c>
      <c r="B178" s="1">
        <v>42342</v>
      </c>
      <c r="C178">
        <v>15</v>
      </c>
      <c r="D178" s="1">
        <v>42342</v>
      </c>
      <c r="E178" t="s">
        <v>199</v>
      </c>
      <c r="F178" t="s">
        <v>21</v>
      </c>
      <c r="G178" t="s">
        <v>394</v>
      </c>
    </row>
    <row r="179" spans="1:7" x14ac:dyDescent="0.45">
      <c r="A179" t="s">
        <v>19</v>
      </c>
      <c r="B179" s="1">
        <v>42342</v>
      </c>
      <c r="C179">
        <v>9</v>
      </c>
      <c r="D179" s="1">
        <v>42342</v>
      </c>
      <c r="E179" t="s">
        <v>200</v>
      </c>
      <c r="F179" t="s">
        <v>21</v>
      </c>
      <c r="G179" t="s">
        <v>394</v>
      </c>
    </row>
    <row r="180" spans="1:7" x14ac:dyDescent="0.45">
      <c r="A180" t="s">
        <v>19</v>
      </c>
      <c r="B180" s="1">
        <v>42340</v>
      </c>
      <c r="C180">
        <v>4</v>
      </c>
      <c r="D180" s="1">
        <v>42340</v>
      </c>
      <c r="E180" t="s">
        <v>201</v>
      </c>
      <c r="F180" t="s">
        <v>21</v>
      </c>
      <c r="G180" t="s">
        <v>394</v>
      </c>
    </row>
    <row r="181" spans="1:7" x14ac:dyDescent="0.45">
      <c r="A181" t="s">
        <v>19</v>
      </c>
      <c r="B181" s="1">
        <v>42338</v>
      </c>
      <c r="C181">
        <v>25</v>
      </c>
      <c r="D181" s="1">
        <v>42338</v>
      </c>
      <c r="E181" t="s">
        <v>202</v>
      </c>
      <c r="F181" t="s">
        <v>21</v>
      </c>
      <c r="G181" t="s">
        <v>394</v>
      </c>
    </row>
    <row r="182" spans="1:7" x14ac:dyDescent="0.45">
      <c r="A182" t="s">
        <v>19</v>
      </c>
      <c r="B182" s="1">
        <v>42328</v>
      </c>
      <c r="C182">
        <v>25</v>
      </c>
      <c r="D182" s="1">
        <v>42328</v>
      </c>
      <c r="E182" t="s">
        <v>203</v>
      </c>
      <c r="F182" t="s">
        <v>21</v>
      </c>
      <c r="G182" t="s">
        <v>394</v>
      </c>
    </row>
    <row r="183" spans="1:7" x14ac:dyDescent="0.45">
      <c r="A183" t="s">
        <v>30</v>
      </c>
      <c r="B183" s="1">
        <v>42325</v>
      </c>
      <c r="C183">
        <v>4</v>
      </c>
      <c r="D183" s="1">
        <v>42325</v>
      </c>
      <c r="E183" t="s">
        <v>204</v>
      </c>
      <c r="F183" t="s">
        <v>32</v>
      </c>
      <c r="G183" t="s">
        <v>394</v>
      </c>
    </row>
    <row r="184" spans="1:7" x14ac:dyDescent="0.45">
      <c r="A184" t="s">
        <v>19</v>
      </c>
      <c r="B184" s="1">
        <v>42321</v>
      </c>
      <c r="C184">
        <v>5</v>
      </c>
      <c r="D184" s="1">
        <v>42321</v>
      </c>
      <c r="E184" t="s">
        <v>205</v>
      </c>
      <c r="F184" t="s">
        <v>21</v>
      </c>
      <c r="G184" t="s">
        <v>394</v>
      </c>
    </row>
    <row r="185" spans="1:7" x14ac:dyDescent="0.45">
      <c r="A185" t="s">
        <v>206</v>
      </c>
      <c r="B185" s="1">
        <v>42320</v>
      </c>
      <c r="C185">
        <v>-1</v>
      </c>
      <c r="D185" s="1">
        <v>42191</v>
      </c>
      <c r="E185" t="s">
        <v>207</v>
      </c>
      <c r="F185" t="s">
        <v>208</v>
      </c>
      <c r="G185" t="s">
        <v>394</v>
      </c>
    </row>
    <row r="186" spans="1:7" x14ac:dyDescent="0.45">
      <c r="A186" t="s">
        <v>19</v>
      </c>
      <c r="B186" s="1">
        <v>42320</v>
      </c>
      <c r="C186">
        <v>5</v>
      </c>
      <c r="D186" s="1">
        <v>42320</v>
      </c>
      <c r="E186" t="s">
        <v>209</v>
      </c>
      <c r="F186" t="s">
        <v>21</v>
      </c>
      <c r="G186" t="s">
        <v>394</v>
      </c>
    </row>
    <row r="187" spans="1:7" x14ac:dyDescent="0.45">
      <c r="A187" t="s">
        <v>19</v>
      </c>
      <c r="B187" s="1">
        <v>42313</v>
      </c>
      <c r="C187">
        <v>5</v>
      </c>
      <c r="D187" s="1">
        <v>42313</v>
      </c>
      <c r="E187" t="s">
        <v>210</v>
      </c>
      <c r="F187" t="s">
        <v>21</v>
      </c>
      <c r="G187" t="s">
        <v>394</v>
      </c>
    </row>
    <row r="188" spans="1:7" x14ac:dyDescent="0.45">
      <c r="A188" t="s">
        <v>153</v>
      </c>
      <c r="B188" s="1">
        <v>42291</v>
      </c>
      <c r="C188">
        <v>3</v>
      </c>
      <c r="D188" s="1">
        <v>42291</v>
      </c>
      <c r="E188" t="s">
        <v>211</v>
      </c>
      <c r="F188" t="s">
        <v>155</v>
      </c>
      <c r="G188" t="s">
        <v>394</v>
      </c>
    </row>
    <row r="189" spans="1:7" x14ac:dyDescent="0.45">
      <c r="A189" t="s">
        <v>153</v>
      </c>
      <c r="B189" s="1">
        <v>42291</v>
      </c>
      <c r="C189">
        <v>3</v>
      </c>
      <c r="D189" s="1">
        <v>42291</v>
      </c>
      <c r="E189" t="s">
        <v>212</v>
      </c>
      <c r="F189" t="s">
        <v>155</v>
      </c>
      <c r="G189" t="s">
        <v>394</v>
      </c>
    </row>
    <row r="190" spans="1:7" x14ac:dyDescent="0.45">
      <c r="A190" t="s">
        <v>153</v>
      </c>
      <c r="B190" s="1">
        <v>42282</v>
      </c>
      <c r="C190">
        <v>9</v>
      </c>
      <c r="D190" s="1">
        <v>42279</v>
      </c>
      <c r="E190" t="s">
        <v>213</v>
      </c>
      <c r="F190" t="s">
        <v>155</v>
      </c>
      <c r="G190" t="s">
        <v>394</v>
      </c>
    </row>
    <row r="191" spans="1:7" x14ac:dyDescent="0.45">
      <c r="A191" t="s">
        <v>114</v>
      </c>
      <c r="B191" s="1">
        <v>42269</v>
      </c>
      <c r="C191">
        <v>27</v>
      </c>
      <c r="D191" s="1">
        <v>42269</v>
      </c>
      <c r="E191" t="s">
        <v>214</v>
      </c>
      <c r="F191" t="s">
        <v>116</v>
      </c>
      <c r="G191" t="s">
        <v>394</v>
      </c>
    </row>
    <row r="192" spans="1:7" x14ac:dyDescent="0.45">
      <c r="A192" t="s">
        <v>19</v>
      </c>
      <c r="B192" s="1">
        <v>42268</v>
      </c>
      <c r="C192">
        <v>5</v>
      </c>
      <c r="D192" s="1">
        <v>42268</v>
      </c>
      <c r="E192" t="s">
        <v>215</v>
      </c>
      <c r="F192" t="s">
        <v>21</v>
      </c>
      <c r="G192" t="s">
        <v>394</v>
      </c>
    </row>
    <row r="193" spans="1:7" x14ac:dyDescent="0.45">
      <c r="A193" t="s">
        <v>216</v>
      </c>
      <c r="B193" s="1">
        <v>42264</v>
      </c>
      <c r="C193">
        <v>8</v>
      </c>
      <c r="D193" s="1">
        <v>42264</v>
      </c>
      <c r="E193" t="s">
        <v>217</v>
      </c>
      <c r="F193" t="s">
        <v>218</v>
      </c>
      <c r="G193" t="s">
        <v>394</v>
      </c>
    </row>
    <row r="194" spans="1:7" x14ac:dyDescent="0.45">
      <c r="A194" t="s">
        <v>153</v>
      </c>
      <c r="B194" s="1">
        <v>42256</v>
      </c>
      <c r="C194">
        <v>4</v>
      </c>
      <c r="D194" s="1">
        <v>42256</v>
      </c>
      <c r="E194" t="s">
        <v>219</v>
      </c>
      <c r="F194" t="s">
        <v>155</v>
      </c>
      <c r="G194" t="s">
        <v>394</v>
      </c>
    </row>
    <row r="195" spans="1:7" x14ac:dyDescent="0.45">
      <c r="A195" t="s">
        <v>19</v>
      </c>
      <c r="B195" s="1">
        <v>42250</v>
      </c>
      <c r="C195">
        <v>5</v>
      </c>
      <c r="D195" s="1">
        <v>42250</v>
      </c>
      <c r="E195" t="s">
        <v>220</v>
      </c>
      <c r="F195" t="s">
        <v>21</v>
      </c>
      <c r="G195" t="s">
        <v>394</v>
      </c>
    </row>
    <row r="196" spans="1:7" x14ac:dyDescent="0.45">
      <c r="A196" t="s">
        <v>153</v>
      </c>
      <c r="B196" s="1">
        <v>42242</v>
      </c>
      <c r="C196">
        <v>7</v>
      </c>
      <c r="D196" s="1">
        <v>42242</v>
      </c>
      <c r="E196" t="s">
        <v>221</v>
      </c>
      <c r="F196" t="s">
        <v>155</v>
      </c>
      <c r="G196" t="s">
        <v>394</v>
      </c>
    </row>
    <row r="197" spans="1:7" x14ac:dyDescent="0.45">
      <c r="A197" t="s">
        <v>19</v>
      </c>
      <c r="B197" s="1">
        <v>42233</v>
      </c>
      <c r="C197">
        <v>1</v>
      </c>
      <c r="D197" s="1">
        <v>42230</v>
      </c>
      <c r="E197" t="s">
        <v>222</v>
      </c>
      <c r="F197" t="s">
        <v>21</v>
      </c>
      <c r="G197" t="s">
        <v>394</v>
      </c>
    </row>
    <row r="198" spans="1:7" x14ac:dyDescent="0.45">
      <c r="A198" t="s">
        <v>19</v>
      </c>
      <c r="B198" s="1">
        <v>42222</v>
      </c>
      <c r="C198">
        <v>3</v>
      </c>
      <c r="D198" s="1">
        <v>42222</v>
      </c>
      <c r="E198" t="s">
        <v>223</v>
      </c>
      <c r="F198" t="s">
        <v>21</v>
      </c>
      <c r="G198" t="s">
        <v>394</v>
      </c>
    </row>
    <row r="199" spans="1:7" x14ac:dyDescent="0.45">
      <c r="A199" t="s">
        <v>114</v>
      </c>
      <c r="B199" s="1">
        <v>42221</v>
      </c>
      <c r="C199">
        <v>12</v>
      </c>
      <c r="D199" s="1">
        <v>42221</v>
      </c>
      <c r="E199" t="s">
        <v>224</v>
      </c>
      <c r="F199" t="s">
        <v>116</v>
      </c>
      <c r="G199" t="s">
        <v>394</v>
      </c>
    </row>
    <row r="200" spans="1:7" x14ac:dyDescent="0.45">
      <c r="A200" t="s">
        <v>19</v>
      </c>
      <c r="B200" s="1">
        <v>42213</v>
      </c>
      <c r="C200">
        <v>5</v>
      </c>
      <c r="D200" s="1">
        <v>42212</v>
      </c>
      <c r="E200" t="s">
        <v>225</v>
      </c>
      <c r="F200" t="s">
        <v>21</v>
      </c>
      <c r="G200" t="s">
        <v>394</v>
      </c>
    </row>
    <row r="201" spans="1:7" x14ac:dyDescent="0.45">
      <c r="A201" t="s">
        <v>19</v>
      </c>
      <c r="B201" s="1">
        <v>42213</v>
      </c>
      <c r="C201">
        <v>2</v>
      </c>
      <c r="D201" s="1">
        <v>42212</v>
      </c>
      <c r="E201" t="s">
        <v>226</v>
      </c>
      <c r="F201" t="s">
        <v>21</v>
      </c>
      <c r="G201" t="s">
        <v>394</v>
      </c>
    </row>
    <row r="202" spans="1:7" x14ac:dyDescent="0.45">
      <c r="A202" t="s">
        <v>114</v>
      </c>
      <c r="B202" s="1">
        <v>42207</v>
      </c>
      <c r="C202">
        <v>26</v>
      </c>
      <c r="D202" s="1">
        <v>42207</v>
      </c>
      <c r="E202" t="s">
        <v>227</v>
      </c>
      <c r="F202" t="s">
        <v>116</v>
      </c>
      <c r="G202" t="s">
        <v>394</v>
      </c>
    </row>
    <row r="203" spans="1:7" x14ac:dyDescent="0.45">
      <c r="A203" t="s">
        <v>19</v>
      </c>
      <c r="B203" s="1">
        <v>42206</v>
      </c>
      <c r="C203">
        <v>1</v>
      </c>
      <c r="D203" s="1">
        <v>42206</v>
      </c>
      <c r="E203" t="s">
        <v>228</v>
      </c>
      <c r="F203" t="s">
        <v>21</v>
      </c>
      <c r="G203" t="s">
        <v>394</v>
      </c>
    </row>
    <row r="204" spans="1:7" x14ac:dyDescent="0.45">
      <c r="A204" t="s">
        <v>19</v>
      </c>
      <c r="B204" s="1">
        <v>42192</v>
      </c>
      <c r="C204">
        <v>1</v>
      </c>
      <c r="D204" s="1">
        <v>42192</v>
      </c>
      <c r="E204" t="s">
        <v>229</v>
      </c>
      <c r="F204" t="s">
        <v>21</v>
      </c>
      <c r="G204" t="s">
        <v>394</v>
      </c>
    </row>
    <row r="205" spans="1:7" x14ac:dyDescent="0.45">
      <c r="A205" t="s">
        <v>206</v>
      </c>
      <c r="B205" s="1">
        <v>42191</v>
      </c>
      <c r="C205">
        <v>1</v>
      </c>
      <c r="D205" s="1">
        <v>42191</v>
      </c>
      <c r="E205" t="s">
        <v>207</v>
      </c>
      <c r="F205" t="s">
        <v>208</v>
      </c>
      <c r="G205" t="s">
        <v>394</v>
      </c>
    </row>
    <row r="206" spans="1:7" x14ac:dyDescent="0.45">
      <c r="A206" t="s">
        <v>19</v>
      </c>
      <c r="B206" s="1">
        <v>42159</v>
      </c>
      <c r="C206">
        <v>16</v>
      </c>
      <c r="D206" s="1">
        <v>42159</v>
      </c>
      <c r="E206" t="s">
        <v>230</v>
      </c>
      <c r="F206" t="s">
        <v>21</v>
      </c>
      <c r="G206" t="s">
        <v>394</v>
      </c>
    </row>
    <row r="207" spans="1:7" x14ac:dyDescent="0.45">
      <c r="A207" t="s">
        <v>114</v>
      </c>
      <c r="B207" s="1">
        <v>42142</v>
      </c>
      <c r="C207">
        <v>26</v>
      </c>
      <c r="D207" s="1">
        <v>42139</v>
      </c>
      <c r="E207" t="s">
        <v>231</v>
      </c>
      <c r="F207" t="s">
        <v>116</v>
      </c>
      <c r="G207" t="s">
        <v>394</v>
      </c>
    </row>
    <row r="208" spans="1:7" x14ac:dyDescent="0.45">
      <c r="A208" t="s">
        <v>19</v>
      </c>
      <c r="B208" s="1">
        <v>42137</v>
      </c>
      <c r="C208">
        <v>11</v>
      </c>
      <c r="D208" s="1">
        <v>42137</v>
      </c>
      <c r="E208" t="s">
        <v>232</v>
      </c>
      <c r="F208" t="s">
        <v>21</v>
      </c>
      <c r="G208" t="s">
        <v>394</v>
      </c>
    </row>
    <row r="209" spans="1:7" x14ac:dyDescent="0.45">
      <c r="A209" t="s">
        <v>19</v>
      </c>
      <c r="B209" s="1">
        <v>42137</v>
      </c>
      <c r="C209">
        <v>13</v>
      </c>
      <c r="D209" s="1">
        <v>42137</v>
      </c>
      <c r="E209" t="s">
        <v>233</v>
      </c>
      <c r="F209" t="s">
        <v>21</v>
      </c>
      <c r="G209" t="s">
        <v>394</v>
      </c>
    </row>
    <row r="210" spans="1:7" x14ac:dyDescent="0.45">
      <c r="A210" t="s">
        <v>19</v>
      </c>
      <c r="B210" s="1">
        <v>42131</v>
      </c>
      <c r="C210">
        <v>1</v>
      </c>
      <c r="D210" s="1">
        <v>42131</v>
      </c>
      <c r="E210" t="s">
        <v>234</v>
      </c>
      <c r="F210" t="s">
        <v>21</v>
      </c>
      <c r="G210" t="s">
        <v>394</v>
      </c>
    </row>
    <row r="211" spans="1:7" x14ac:dyDescent="0.45">
      <c r="A211" t="s">
        <v>19</v>
      </c>
      <c r="B211" s="1">
        <v>42096</v>
      </c>
      <c r="C211">
        <v>6</v>
      </c>
      <c r="D211" s="1">
        <v>42096</v>
      </c>
      <c r="E211" t="s">
        <v>235</v>
      </c>
      <c r="F211" t="s">
        <v>21</v>
      </c>
      <c r="G211" t="s">
        <v>394</v>
      </c>
    </row>
    <row r="212" spans="1:7" x14ac:dyDescent="0.45">
      <c r="A212" t="s">
        <v>19</v>
      </c>
      <c r="B212" s="1">
        <v>42054</v>
      </c>
      <c r="C212">
        <v>12</v>
      </c>
      <c r="D212" s="1">
        <v>42054</v>
      </c>
      <c r="E212" t="s">
        <v>236</v>
      </c>
      <c r="F212" t="s">
        <v>21</v>
      </c>
      <c r="G212" t="s">
        <v>394</v>
      </c>
    </row>
    <row r="213" spans="1:7" x14ac:dyDescent="0.45">
      <c r="A213" t="s">
        <v>19</v>
      </c>
      <c r="B213" s="1">
        <v>42045</v>
      </c>
      <c r="C213">
        <v>2</v>
      </c>
      <c r="D213" s="1">
        <v>42045</v>
      </c>
      <c r="E213" t="s">
        <v>237</v>
      </c>
      <c r="F213" t="s">
        <v>21</v>
      </c>
      <c r="G213" t="s">
        <v>394</v>
      </c>
    </row>
    <row r="214" spans="1:7" x14ac:dyDescent="0.45">
      <c r="A214" t="s">
        <v>19</v>
      </c>
      <c r="B214" s="1">
        <v>42038</v>
      </c>
      <c r="C214">
        <v>1</v>
      </c>
      <c r="D214" s="1">
        <v>42038</v>
      </c>
      <c r="E214" t="s">
        <v>238</v>
      </c>
      <c r="F214" t="s">
        <v>21</v>
      </c>
      <c r="G214" t="s">
        <v>394</v>
      </c>
    </row>
    <row r="215" spans="1:7" x14ac:dyDescent="0.45">
      <c r="A215" t="s">
        <v>114</v>
      </c>
      <c r="B215" s="1">
        <v>42037</v>
      </c>
      <c r="C215">
        <v>27</v>
      </c>
      <c r="D215" s="1">
        <v>42037</v>
      </c>
      <c r="E215" t="s">
        <v>239</v>
      </c>
      <c r="F215" t="s">
        <v>116</v>
      </c>
      <c r="G215" t="s">
        <v>394</v>
      </c>
    </row>
    <row r="216" spans="1:7" x14ac:dyDescent="0.45">
      <c r="A216" t="s">
        <v>19</v>
      </c>
      <c r="B216" s="1">
        <v>42031</v>
      </c>
      <c r="C216">
        <v>15</v>
      </c>
      <c r="D216" s="1">
        <v>42031</v>
      </c>
      <c r="E216" t="s">
        <v>240</v>
      </c>
      <c r="F216" t="s">
        <v>21</v>
      </c>
      <c r="G216" t="s">
        <v>394</v>
      </c>
    </row>
    <row r="217" spans="1:7" x14ac:dyDescent="0.45">
      <c r="A217" t="s">
        <v>19</v>
      </c>
      <c r="B217" s="1">
        <v>42031</v>
      </c>
      <c r="C217">
        <v>5</v>
      </c>
      <c r="D217" s="1">
        <v>42031</v>
      </c>
      <c r="E217" t="s">
        <v>241</v>
      </c>
      <c r="F217" t="s">
        <v>21</v>
      </c>
      <c r="G217" t="s">
        <v>394</v>
      </c>
    </row>
    <row r="218" spans="1:7" x14ac:dyDescent="0.45">
      <c r="A218" t="s">
        <v>19</v>
      </c>
      <c r="B218" s="1">
        <v>42025</v>
      </c>
      <c r="C218">
        <v>5</v>
      </c>
      <c r="D218" s="1">
        <v>42025</v>
      </c>
      <c r="E218" t="s">
        <v>242</v>
      </c>
      <c r="F218" t="s">
        <v>21</v>
      </c>
      <c r="G218" t="s">
        <v>394</v>
      </c>
    </row>
    <row r="219" spans="1:7" x14ac:dyDescent="0.45">
      <c r="A219" t="s">
        <v>19</v>
      </c>
      <c r="B219" s="1">
        <v>42020</v>
      </c>
      <c r="C219">
        <v>4</v>
      </c>
      <c r="D219" s="1">
        <v>42020</v>
      </c>
      <c r="E219" t="s">
        <v>243</v>
      </c>
      <c r="F219" t="s">
        <v>21</v>
      </c>
      <c r="G219" t="s">
        <v>394</v>
      </c>
    </row>
    <row r="220" spans="1:7" x14ac:dyDescent="0.45">
      <c r="A220" t="s">
        <v>114</v>
      </c>
      <c r="B220" s="1">
        <v>42010</v>
      </c>
      <c r="C220">
        <v>26</v>
      </c>
      <c r="D220" s="1">
        <v>42010</v>
      </c>
      <c r="E220" t="s">
        <v>244</v>
      </c>
      <c r="F220" t="s">
        <v>116</v>
      </c>
      <c r="G220" t="s">
        <v>394</v>
      </c>
    </row>
    <row r="221" spans="1:7" x14ac:dyDescent="0.45">
      <c r="A221" t="s">
        <v>19</v>
      </c>
      <c r="B221" s="1">
        <v>42009</v>
      </c>
      <c r="C221">
        <v>13</v>
      </c>
      <c r="D221" s="1">
        <v>42009</v>
      </c>
      <c r="E221" t="s">
        <v>245</v>
      </c>
      <c r="F221" t="s">
        <v>21</v>
      </c>
      <c r="G221" t="s">
        <v>394</v>
      </c>
    </row>
    <row r="222" spans="1:7" x14ac:dyDescent="0.45">
      <c r="A222" t="s">
        <v>142</v>
      </c>
      <c r="B222" s="1">
        <v>42009</v>
      </c>
      <c r="C222">
        <v>1</v>
      </c>
      <c r="D222" s="1">
        <v>42009</v>
      </c>
      <c r="E222" t="s">
        <v>246</v>
      </c>
      <c r="F222" t="s">
        <v>144</v>
      </c>
      <c r="G222" t="s">
        <v>394</v>
      </c>
    </row>
    <row r="223" spans="1:7" x14ac:dyDescent="0.45">
      <c r="A223" t="s">
        <v>9</v>
      </c>
      <c r="B223" s="1">
        <v>42009</v>
      </c>
      <c r="C223">
        <v>7</v>
      </c>
      <c r="D223" s="1">
        <v>42009</v>
      </c>
      <c r="E223" t="s">
        <v>247</v>
      </c>
      <c r="F223" t="s">
        <v>11</v>
      </c>
      <c r="G223" t="s">
        <v>394</v>
      </c>
    </row>
    <row r="224" spans="1:7" x14ac:dyDescent="0.45">
      <c r="A224" t="s">
        <v>19</v>
      </c>
      <c r="B224" s="1">
        <v>42002</v>
      </c>
      <c r="C224">
        <v>16</v>
      </c>
      <c r="D224" s="1">
        <v>42002</v>
      </c>
      <c r="E224" t="s">
        <v>248</v>
      </c>
      <c r="F224" t="s">
        <v>21</v>
      </c>
      <c r="G224" t="s">
        <v>394</v>
      </c>
    </row>
    <row r="225" spans="1:7" x14ac:dyDescent="0.45">
      <c r="A225" t="s">
        <v>19</v>
      </c>
      <c r="B225" s="1">
        <v>41991</v>
      </c>
      <c r="C225">
        <v>15</v>
      </c>
      <c r="D225" s="1">
        <v>41991</v>
      </c>
      <c r="E225" t="s">
        <v>249</v>
      </c>
      <c r="F225" t="s">
        <v>21</v>
      </c>
      <c r="G225" t="s">
        <v>394</v>
      </c>
    </row>
    <row r="226" spans="1:7" x14ac:dyDescent="0.45">
      <c r="A226" t="s">
        <v>9</v>
      </c>
      <c r="B226" s="1">
        <v>41988</v>
      </c>
      <c r="C226">
        <v>40</v>
      </c>
      <c r="D226" s="1">
        <v>41988</v>
      </c>
      <c r="E226" t="s">
        <v>250</v>
      </c>
      <c r="F226" t="s">
        <v>11</v>
      </c>
      <c r="G226" t="s">
        <v>394</v>
      </c>
    </row>
    <row r="227" spans="1:7" x14ac:dyDescent="0.45">
      <c r="A227" t="s">
        <v>114</v>
      </c>
      <c r="B227" s="1">
        <v>41985</v>
      </c>
      <c r="C227">
        <v>15</v>
      </c>
      <c r="D227" s="1">
        <v>41985</v>
      </c>
      <c r="E227" t="s">
        <v>251</v>
      </c>
      <c r="F227" t="s">
        <v>116</v>
      </c>
      <c r="G227" t="s">
        <v>394</v>
      </c>
    </row>
    <row r="228" spans="1:7" x14ac:dyDescent="0.45">
      <c r="A228" t="s">
        <v>19</v>
      </c>
      <c r="B228" s="1">
        <v>41968</v>
      </c>
      <c r="C228">
        <v>1</v>
      </c>
      <c r="D228" s="1">
        <v>41968</v>
      </c>
      <c r="E228" t="s">
        <v>252</v>
      </c>
      <c r="F228" t="s">
        <v>21</v>
      </c>
      <c r="G228" t="s">
        <v>394</v>
      </c>
    </row>
    <row r="229" spans="1:7" x14ac:dyDescent="0.45">
      <c r="A229" t="s">
        <v>9</v>
      </c>
      <c r="B229" s="1">
        <v>41964</v>
      </c>
      <c r="C229">
        <v>70</v>
      </c>
      <c r="D229" s="1">
        <v>41964</v>
      </c>
      <c r="E229" t="s">
        <v>253</v>
      </c>
      <c r="F229" t="s">
        <v>11</v>
      </c>
      <c r="G229" t="s">
        <v>394</v>
      </c>
    </row>
    <row r="230" spans="1:7" x14ac:dyDescent="0.45">
      <c r="A230" t="s">
        <v>19</v>
      </c>
      <c r="B230" s="1">
        <v>41960</v>
      </c>
      <c r="C230">
        <v>25</v>
      </c>
      <c r="D230" s="1">
        <v>41956</v>
      </c>
      <c r="E230" t="s">
        <v>254</v>
      </c>
      <c r="F230" t="s">
        <v>21</v>
      </c>
      <c r="G230" t="s">
        <v>394</v>
      </c>
    </row>
    <row r="231" spans="1:7" x14ac:dyDescent="0.45">
      <c r="A231" t="s">
        <v>19</v>
      </c>
      <c r="B231" s="1">
        <v>41954</v>
      </c>
      <c r="C231">
        <v>14</v>
      </c>
      <c r="D231" s="1">
        <v>41954</v>
      </c>
      <c r="E231" t="s">
        <v>255</v>
      </c>
      <c r="F231" t="s">
        <v>21</v>
      </c>
      <c r="G231" t="s">
        <v>394</v>
      </c>
    </row>
    <row r="232" spans="1:7" x14ac:dyDescent="0.45">
      <c r="A232" t="s">
        <v>19</v>
      </c>
      <c r="B232" s="1">
        <v>41954</v>
      </c>
      <c r="C232">
        <v>10</v>
      </c>
      <c r="D232" s="1">
        <v>41954</v>
      </c>
      <c r="E232" t="s">
        <v>256</v>
      </c>
      <c r="F232" t="s">
        <v>21</v>
      </c>
      <c r="G232" t="s">
        <v>394</v>
      </c>
    </row>
    <row r="233" spans="1:7" x14ac:dyDescent="0.45">
      <c r="A233" t="s">
        <v>142</v>
      </c>
      <c r="B233" s="1">
        <v>41949</v>
      </c>
      <c r="C233">
        <v>1</v>
      </c>
      <c r="D233" s="1">
        <v>41949</v>
      </c>
      <c r="E233" t="s">
        <v>257</v>
      </c>
      <c r="F233" t="s">
        <v>144</v>
      </c>
      <c r="G233" t="s">
        <v>394</v>
      </c>
    </row>
    <row r="234" spans="1:7" x14ac:dyDescent="0.45">
      <c r="A234" t="s">
        <v>22</v>
      </c>
      <c r="B234" s="1">
        <v>41936</v>
      </c>
      <c r="C234">
        <v>1</v>
      </c>
      <c r="D234" s="1">
        <v>41936</v>
      </c>
      <c r="E234" t="s">
        <v>258</v>
      </c>
      <c r="F234" t="s">
        <v>24</v>
      </c>
      <c r="G234" t="s">
        <v>394</v>
      </c>
    </row>
    <row r="235" spans="1:7" x14ac:dyDescent="0.45">
      <c r="A235" t="s">
        <v>19</v>
      </c>
      <c r="B235" s="1">
        <v>41936</v>
      </c>
      <c r="C235">
        <v>15</v>
      </c>
      <c r="D235" s="1">
        <v>41936</v>
      </c>
      <c r="E235" t="s">
        <v>259</v>
      </c>
      <c r="F235" t="s">
        <v>21</v>
      </c>
      <c r="G235" t="s">
        <v>394</v>
      </c>
    </row>
    <row r="236" spans="1:7" x14ac:dyDescent="0.45">
      <c r="A236" t="s">
        <v>19</v>
      </c>
      <c r="B236" s="1">
        <v>41936</v>
      </c>
      <c r="C236">
        <v>1</v>
      </c>
      <c r="D236" s="1">
        <v>41936</v>
      </c>
      <c r="E236" t="s">
        <v>260</v>
      </c>
      <c r="F236" t="s">
        <v>21</v>
      </c>
      <c r="G236" t="s">
        <v>394</v>
      </c>
    </row>
    <row r="237" spans="1:7" x14ac:dyDescent="0.45">
      <c r="A237" t="s">
        <v>19</v>
      </c>
      <c r="B237" s="1">
        <v>41933</v>
      </c>
      <c r="C237">
        <v>13</v>
      </c>
      <c r="D237" s="1">
        <v>41933</v>
      </c>
      <c r="E237" t="s">
        <v>261</v>
      </c>
      <c r="F237" t="s">
        <v>21</v>
      </c>
      <c r="G237" t="s">
        <v>394</v>
      </c>
    </row>
    <row r="238" spans="1:7" x14ac:dyDescent="0.45">
      <c r="A238" t="s">
        <v>9</v>
      </c>
      <c r="B238" s="1">
        <v>41929</v>
      </c>
      <c r="C238">
        <v>70</v>
      </c>
      <c r="D238" s="1">
        <v>41929</v>
      </c>
      <c r="E238" t="s">
        <v>262</v>
      </c>
      <c r="F238" t="s">
        <v>11</v>
      </c>
      <c r="G238" t="s">
        <v>394</v>
      </c>
    </row>
    <row r="239" spans="1:7" x14ac:dyDescent="0.45">
      <c r="A239" t="s">
        <v>114</v>
      </c>
      <c r="B239" s="1">
        <v>41922</v>
      </c>
      <c r="C239">
        <v>15</v>
      </c>
      <c r="D239" s="1">
        <v>41922</v>
      </c>
      <c r="E239" t="s">
        <v>263</v>
      </c>
      <c r="F239" t="s">
        <v>116</v>
      </c>
      <c r="G239" t="s">
        <v>394</v>
      </c>
    </row>
    <row r="240" spans="1:7" x14ac:dyDescent="0.45">
      <c r="A240" t="s">
        <v>9</v>
      </c>
      <c r="B240" s="1">
        <v>41920</v>
      </c>
      <c r="C240">
        <v>4</v>
      </c>
      <c r="D240" s="1">
        <v>41920</v>
      </c>
      <c r="E240" t="s">
        <v>264</v>
      </c>
      <c r="F240" t="s">
        <v>11</v>
      </c>
      <c r="G240" t="s">
        <v>394</v>
      </c>
    </row>
    <row r="241" spans="1:7" x14ac:dyDescent="0.45">
      <c r="A241" t="s">
        <v>22</v>
      </c>
      <c r="B241" s="1">
        <v>41912</v>
      </c>
      <c r="C241">
        <v>-20</v>
      </c>
      <c r="D241" s="1">
        <v>41837</v>
      </c>
      <c r="E241" t="s">
        <v>265</v>
      </c>
      <c r="F241" t="s">
        <v>24</v>
      </c>
      <c r="G241" t="s">
        <v>394</v>
      </c>
    </row>
    <row r="242" spans="1:7" x14ac:dyDescent="0.45">
      <c r="A242" t="s">
        <v>22</v>
      </c>
      <c r="B242" s="1">
        <v>41912</v>
      </c>
      <c r="C242">
        <v>-13</v>
      </c>
      <c r="D242" s="1">
        <v>41795</v>
      </c>
      <c r="E242" t="s">
        <v>266</v>
      </c>
      <c r="F242" t="s">
        <v>24</v>
      </c>
      <c r="G242" t="s">
        <v>394</v>
      </c>
    </row>
    <row r="243" spans="1:7" x14ac:dyDescent="0.45">
      <c r="A243" t="s">
        <v>9</v>
      </c>
      <c r="B243" s="1">
        <v>41904</v>
      </c>
      <c r="C243">
        <v>70</v>
      </c>
      <c r="D243" s="1">
        <v>41904</v>
      </c>
      <c r="E243" t="s">
        <v>267</v>
      </c>
      <c r="F243" t="s">
        <v>11</v>
      </c>
      <c r="G243" t="s">
        <v>394</v>
      </c>
    </row>
    <row r="244" spans="1:7" x14ac:dyDescent="0.45">
      <c r="A244" t="s">
        <v>9</v>
      </c>
      <c r="B244" s="1">
        <v>41899</v>
      </c>
      <c r="C244">
        <v>4</v>
      </c>
      <c r="D244" s="1">
        <v>41899</v>
      </c>
      <c r="E244" t="s">
        <v>268</v>
      </c>
      <c r="F244" t="s">
        <v>11</v>
      </c>
      <c r="G244" t="s">
        <v>394</v>
      </c>
    </row>
    <row r="245" spans="1:7" x14ac:dyDescent="0.45">
      <c r="A245" t="s">
        <v>9</v>
      </c>
      <c r="B245" s="1">
        <v>41892</v>
      </c>
      <c r="C245">
        <v>4</v>
      </c>
      <c r="D245" s="1">
        <v>41892</v>
      </c>
      <c r="E245" t="s">
        <v>269</v>
      </c>
      <c r="F245" t="s">
        <v>11</v>
      </c>
      <c r="G245" t="s">
        <v>394</v>
      </c>
    </row>
    <row r="246" spans="1:7" x14ac:dyDescent="0.45">
      <c r="A246" t="s">
        <v>114</v>
      </c>
      <c r="B246" s="1">
        <v>41891</v>
      </c>
      <c r="C246">
        <v>25</v>
      </c>
      <c r="D246" s="1">
        <v>41891</v>
      </c>
      <c r="E246" t="s">
        <v>270</v>
      </c>
      <c r="F246" t="s">
        <v>116</v>
      </c>
      <c r="G246" t="s">
        <v>394</v>
      </c>
    </row>
    <row r="247" spans="1:7" x14ac:dyDescent="0.45">
      <c r="A247" t="s">
        <v>9</v>
      </c>
      <c r="B247" s="1">
        <v>41887</v>
      </c>
      <c r="C247">
        <v>4</v>
      </c>
      <c r="D247" s="1">
        <v>41887</v>
      </c>
      <c r="E247" t="s">
        <v>271</v>
      </c>
      <c r="F247" t="s">
        <v>11</v>
      </c>
      <c r="G247" t="s">
        <v>394</v>
      </c>
    </row>
    <row r="248" spans="1:7" x14ac:dyDescent="0.45">
      <c r="A248" t="s">
        <v>19</v>
      </c>
      <c r="B248" s="1">
        <v>41879</v>
      </c>
      <c r="C248">
        <v>11</v>
      </c>
      <c r="D248" s="1">
        <v>41879</v>
      </c>
      <c r="E248" t="s">
        <v>272</v>
      </c>
      <c r="F248" t="s">
        <v>21</v>
      </c>
      <c r="G248" t="s">
        <v>394</v>
      </c>
    </row>
    <row r="249" spans="1:7" x14ac:dyDescent="0.45">
      <c r="A249" t="s">
        <v>9</v>
      </c>
      <c r="B249" s="1">
        <v>41873</v>
      </c>
      <c r="C249">
        <v>70</v>
      </c>
      <c r="D249" s="1">
        <v>41873</v>
      </c>
      <c r="E249" t="s">
        <v>273</v>
      </c>
      <c r="F249" t="s">
        <v>11</v>
      </c>
      <c r="G249" t="s">
        <v>394</v>
      </c>
    </row>
    <row r="250" spans="1:7" x14ac:dyDescent="0.45">
      <c r="A250" t="s">
        <v>19</v>
      </c>
      <c r="B250" s="1">
        <v>41862</v>
      </c>
      <c r="C250">
        <v>1</v>
      </c>
      <c r="D250" s="1">
        <v>41859</v>
      </c>
      <c r="E250" t="s">
        <v>274</v>
      </c>
      <c r="F250" t="s">
        <v>21</v>
      </c>
      <c r="G250" t="s">
        <v>394</v>
      </c>
    </row>
    <row r="251" spans="1:7" x14ac:dyDescent="0.45">
      <c r="A251" t="s">
        <v>114</v>
      </c>
      <c r="B251" s="1">
        <v>41862</v>
      </c>
      <c r="C251">
        <v>25</v>
      </c>
      <c r="D251" s="1">
        <v>41859</v>
      </c>
      <c r="E251" t="s">
        <v>275</v>
      </c>
      <c r="F251" t="s">
        <v>116</v>
      </c>
      <c r="G251" t="s">
        <v>394</v>
      </c>
    </row>
    <row r="252" spans="1:7" x14ac:dyDescent="0.45">
      <c r="A252" t="s">
        <v>19</v>
      </c>
      <c r="B252" s="1">
        <v>41844</v>
      </c>
      <c r="C252">
        <v>2</v>
      </c>
      <c r="D252" s="1">
        <v>41844</v>
      </c>
      <c r="E252" t="s">
        <v>276</v>
      </c>
      <c r="F252" t="s">
        <v>21</v>
      </c>
      <c r="G252" t="s">
        <v>394</v>
      </c>
    </row>
    <row r="253" spans="1:7" x14ac:dyDescent="0.45">
      <c r="A253" t="s">
        <v>19</v>
      </c>
      <c r="B253" s="1">
        <v>41844</v>
      </c>
      <c r="C253">
        <v>2</v>
      </c>
      <c r="D253" s="1">
        <v>41844</v>
      </c>
      <c r="E253" t="s">
        <v>276</v>
      </c>
      <c r="F253" t="s">
        <v>21</v>
      </c>
      <c r="G253" t="s">
        <v>394</v>
      </c>
    </row>
    <row r="254" spans="1:7" x14ac:dyDescent="0.45">
      <c r="A254" t="s">
        <v>114</v>
      </c>
      <c r="B254" s="1">
        <v>41842</v>
      </c>
      <c r="C254">
        <v>24</v>
      </c>
      <c r="D254" s="1">
        <v>41842</v>
      </c>
      <c r="E254" t="s">
        <v>277</v>
      </c>
      <c r="F254" t="s">
        <v>116</v>
      </c>
      <c r="G254" t="s">
        <v>394</v>
      </c>
    </row>
    <row r="255" spans="1:7" x14ac:dyDescent="0.45">
      <c r="A255" t="s">
        <v>9</v>
      </c>
      <c r="B255" s="1">
        <v>41838</v>
      </c>
      <c r="C255">
        <v>70</v>
      </c>
      <c r="D255" s="1">
        <v>41838</v>
      </c>
      <c r="E255" t="s">
        <v>278</v>
      </c>
      <c r="F255" t="s">
        <v>11</v>
      </c>
      <c r="G255" t="s">
        <v>394</v>
      </c>
    </row>
    <row r="256" spans="1:7" x14ac:dyDescent="0.45">
      <c r="A256" t="s">
        <v>9</v>
      </c>
      <c r="B256" s="1">
        <v>41837</v>
      </c>
      <c r="C256">
        <v>6</v>
      </c>
      <c r="D256" s="1">
        <v>41836</v>
      </c>
      <c r="E256" t="s">
        <v>279</v>
      </c>
      <c r="F256" t="s">
        <v>11</v>
      </c>
      <c r="G256" t="s">
        <v>394</v>
      </c>
    </row>
    <row r="257" spans="1:7" x14ac:dyDescent="0.45">
      <c r="A257" t="s">
        <v>9</v>
      </c>
      <c r="B257" s="1">
        <v>41837</v>
      </c>
      <c r="C257">
        <v>5</v>
      </c>
      <c r="D257" s="1">
        <v>41836</v>
      </c>
      <c r="E257" t="s">
        <v>280</v>
      </c>
      <c r="F257" t="s">
        <v>11</v>
      </c>
      <c r="G257" t="s">
        <v>394</v>
      </c>
    </row>
    <row r="258" spans="1:7" x14ac:dyDescent="0.45">
      <c r="A258" t="s">
        <v>9</v>
      </c>
      <c r="B258" s="1">
        <v>41837</v>
      </c>
      <c r="C258">
        <v>4</v>
      </c>
      <c r="D258" s="1">
        <v>41836</v>
      </c>
      <c r="E258" t="s">
        <v>281</v>
      </c>
      <c r="F258" t="s">
        <v>11</v>
      </c>
      <c r="G258" t="s">
        <v>394</v>
      </c>
    </row>
    <row r="259" spans="1:7" x14ac:dyDescent="0.45">
      <c r="A259" t="s">
        <v>22</v>
      </c>
      <c r="B259" s="1">
        <v>41837</v>
      </c>
      <c r="C259">
        <v>20</v>
      </c>
      <c r="D259" s="1">
        <v>41837</v>
      </c>
      <c r="E259" t="s">
        <v>265</v>
      </c>
      <c r="F259" t="s">
        <v>24</v>
      </c>
      <c r="G259" t="s">
        <v>394</v>
      </c>
    </row>
    <row r="260" spans="1:7" x14ac:dyDescent="0.45">
      <c r="A260" t="s">
        <v>9</v>
      </c>
      <c r="B260" s="1">
        <v>41817</v>
      </c>
      <c r="C260">
        <v>15</v>
      </c>
      <c r="D260" s="1">
        <v>41817</v>
      </c>
      <c r="E260" t="s">
        <v>282</v>
      </c>
      <c r="F260" t="s">
        <v>11</v>
      </c>
      <c r="G260" t="s">
        <v>394</v>
      </c>
    </row>
    <row r="261" spans="1:7" x14ac:dyDescent="0.45">
      <c r="A261" t="s">
        <v>9</v>
      </c>
      <c r="B261" s="1">
        <v>41816</v>
      </c>
      <c r="C261">
        <v>70</v>
      </c>
      <c r="D261" s="1">
        <v>41816</v>
      </c>
      <c r="E261" t="s">
        <v>283</v>
      </c>
      <c r="F261" t="s">
        <v>11</v>
      </c>
      <c r="G261" t="s">
        <v>394</v>
      </c>
    </row>
    <row r="262" spans="1:7" x14ac:dyDescent="0.45">
      <c r="A262" t="s">
        <v>9</v>
      </c>
      <c r="B262" s="1">
        <v>41809</v>
      </c>
      <c r="C262">
        <v>17</v>
      </c>
      <c r="D262" s="1">
        <v>41809</v>
      </c>
      <c r="E262" t="s">
        <v>284</v>
      </c>
      <c r="F262" t="s">
        <v>11</v>
      </c>
      <c r="G262" t="s">
        <v>394</v>
      </c>
    </row>
    <row r="263" spans="1:7" x14ac:dyDescent="0.45">
      <c r="A263" t="s">
        <v>22</v>
      </c>
      <c r="B263" s="1">
        <v>41796</v>
      </c>
      <c r="C263">
        <v>20</v>
      </c>
      <c r="D263" s="1">
        <v>41795</v>
      </c>
      <c r="E263" t="s">
        <v>266</v>
      </c>
      <c r="F263" t="s">
        <v>24</v>
      </c>
      <c r="G263" t="s">
        <v>394</v>
      </c>
    </row>
    <row r="264" spans="1:7" x14ac:dyDescent="0.45">
      <c r="A264" t="s">
        <v>22</v>
      </c>
      <c r="B264" s="1">
        <v>41794</v>
      </c>
      <c r="C264">
        <v>1</v>
      </c>
      <c r="D264" s="1">
        <v>41793</v>
      </c>
      <c r="E264" t="s">
        <v>285</v>
      </c>
      <c r="F264" t="s">
        <v>24</v>
      </c>
      <c r="G264" t="s">
        <v>394</v>
      </c>
    </row>
    <row r="265" spans="1:7" x14ac:dyDescent="0.45">
      <c r="A265" t="s">
        <v>19</v>
      </c>
      <c r="B265" s="1">
        <v>41789</v>
      </c>
      <c r="C265">
        <v>6</v>
      </c>
      <c r="D265" s="1">
        <v>41788</v>
      </c>
      <c r="E265" t="s">
        <v>286</v>
      </c>
      <c r="F265" t="s">
        <v>21</v>
      </c>
      <c r="G265" t="s">
        <v>394</v>
      </c>
    </row>
    <row r="266" spans="1:7" x14ac:dyDescent="0.45">
      <c r="A266" t="s">
        <v>9</v>
      </c>
      <c r="B266" s="1">
        <v>41789</v>
      </c>
      <c r="C266">
        <v>70</v>
      </c>
      <c r="D266" s="1">
        <v>41789</v>
      </c>
      <c r="E266" t="s">
        <v>287</v>
      </c>
      <c r="F266" t="s">
        <v>11</v>
      </c>
      <c r="G266" t="s">
        <v>394</v>
      </c>
    </row>
    <row r="267" spans="1:7" x14ac:dyDescent="0.45">
      <c r="A267" t="s">
        <v>19</v>
      </c>
      <c r="B267" s="1">
        <v>41788</v>
      </c>
      <c r="C267">
        <v>3</v>
      </c>
      <c r="D267" s="1">
        <v>41787</v>
      </c>
      <c r="E267" t="s">
        <v>288</v>
      </c>
      <c r="F267" t="s">
        <v>21</v>
      </c>
      <c r="G267" t="s">
        <v>394</v>
      </c>
    </row>
    <row r="268" spans="1:7" x14ac:dyDescent="0.45">
      <c r="A268" t="s">
        <v>19</v>
      </c>
      <c r="B268" s="1">
        <v>41788</v>
      </c>
      <c r="C268">
        <v>1</v>
      </c>
      <c r="D268" s="1">
        <v>41787</v>
      </c>
      <c r="E268" t="s">
        <v>289</v>
      </c>
      <c r="F268" t="s">
        <v>21</v>
      </c>
      <c r="G268" t="s">
        <v>394</v>
      </c>
    </row>
    <row r="269" spans="1:7" x14ac:dyDescent="0.45">
      <c r="A269" t="s">
        <v>19</v>
      </c>
      <c r="B269" s="1">
        <v>41781</v>
      </c>
      <c r="C269">
        <v>5</v>
      </c>
      <c r="D269" s="1">
        <v>41781</v>
      </c>
      <c r="E269" t="s">
        <v>290</v>
      </c>
      <c r="F269" t="s">
        <v>21</v>
      </c>
      <c r="G269" t="s">
        <v>394</v>
      </c>
    </row>
    <row r="270" spans="1:7" x14ac:dyDescent="0.45">
      <c r="A270" t="s">
        <v>9</v>
      </c>
      <c r="B270" s="1">
        <v>41764</v>
      </c>
      <c r="C270">
        <v>70</v>
      </c>
      <c r="D270" s="1">
        <v>41761</v>
      </c>
      <c r="E270" t="s">
        <v>291</v>
      </c>
      <c r="F270" t="s">
        <v>11</v>
      </c>
      <c r="G270" t="s">
        <v>394</v>
      </c>
    </row>
    <row r="271" spans="1:7" x14ac:dyDescent="0.45">
      <c r="A271" t="s">
        <v>9</v>
      </c>
      <c r="B271" s="1">
        <v>41758</v>
      </c>
      <c r="C271">
        <v>10</v>
      </c>
      <c r="D271" s="1">
        <v>41758</v>
      </c>
      <c r="E271" t="s">
        <v>292</v>
      </c>
      <c r="F271" t="s">
        <v>11</v>
      </c>
      <c r="G271" t="s">
        <v>394</v>
      </c>
    </row>
    <row r="272" spans="1:7" x14ac:dyDescent="0.45">
      <c r="A272" t="s">
        <v>9</v>
      </c>
      <c r="B272" s="1">
        <v>41747</v>
      </c>
      <c r="C272">
        <v>16</v>
      </c>
      <c r="D272" s="1">
        <v>41746</v>
      </c>
      <c r="E272" t="s">
        <v>293</v>
      </c>
      <c r="F272" t="s">
        <v>11</v>
      </c>
      <c r="G272" t="s">
        <v>394</v>
      </c>
    </row>
    <row r="273" spans="1:7" x14ac:dyDescent="0.45">
      <c r="A273" t="s">
        <v>9</v>
      </c>
      <c r="B273" s="1">
        <v>41730</v>
      </c>
      <c r="C273">
        <v>4</v>
      </c>
      <c r="D273" s="1">
        <v>41730</v>
      </c>
      <c r="E273" t="s">
        <v>294</v>
      </c>
      <c r="F273" t="s">
        <v>11</v>
      </c>
      <c r="G273" t="s">
        <v>394</v>
      </c>
    </row>
    <row r="274" spans="1:7" x14ac:dyDescent="0.45">
      <c r="A274" t="s">
        <v>9</v>
      </c>
      <c r="B274" s="1">
        <v>41730</v>
      </c>
      <c r="C274">
        <v>4</v>
      </c>
      <c r="D274" s="1">
        <v>41730</v>
      </c>
      <c r="E274" t="s">
        <v>295</v>
      </c>
      <c r="F274" t="s">
        <v>11</v>
      </c>
      <c r="G274" t="s">
        <v>394</v>
      </c>
    </row>
    <row r="275" spans="1:7" x14ac:dyDescent="0.45">
      <c r="A275" t="s">
        <v>9</v>
      </c>
      <c r="B275" s="1">
        <v>41729</v>
      </c>
      <c r="C275">
        <v>15</v>
      </c>
      <c r="D275" s="1">
        <v>41729</v>
      </c>
      <c r="E275" t="s">
        <v>296</v>
      </c>
      <c r="F275" t="s">
        <v>11</v>
      </c>
      <c r="G275" t="s">
        <v>394</v>
      </c>
    </row>
    <row r="276" spans="1:7" x14ac:dyDescent="0.45">
      <c r="A276" t="s">
        <v>19</v>
      </c>
      <c r="B276" s="1">
        <v>41716</v>
      </c>
      <c r="C276">
        <v>16</v>
      </c>
      <c r="D276" s="1">
        <v>41716</v>
      </c>
      <c r="E276" t="s">
        <v>297</v>
      </c>
      <c r="F276" t="s">
        <v>21</v>
      </c>
      <c r="G276" t="s">
        <v>394</v>
      </c>
    </row>
    <row r="277" spans="1:7" x14ac:dyDescent="0.45">
      <c r="A277" t="s">
        <v>9</v>
      </c>
      <c r="B277" s="1">
        <v>41716</v>
      </c>
      <c r="C277">
        <v>9</v>
      </c>
      <c r="D277" s="1">
        <v>41716</v>
      </c>
      <c r="E277" t="s">
        <v>298</v>
      </c>
      <c r="F277" t="s">
        <v>11</v>
      </c>
      <c r="G277" t="s">
        <v>394</v>
      </c>
    </row>
    <row r="278" spans="1:7" x14ac:dyDescent="0.45">
      <c r="A278" t="s">
        <v>22</v>
      </c>
      <c r="B278" s="1">
        <v>41712</v>
      </c>
      <c r="C278">
        <v>20</v>
      </c>
      <c r="D278" s="1">
        <v>41712</v>
      </c>
      <c r="E278" t="s">
        <v>299</v>
      </c>
      <c r="F278" t="s">
        <v>24</v>
      </c>
      <c r="G278" t="s">
        <v>394</v>
      </c>
    </row>
    <row r="279" spans="1:7" x14ac:dyDescent="0.45">
      <c r="A279" t="s">
        <v>300</v>
      </c>
      <c r="B279" s="1">
        <v>41705</v>
      </c>
      <c r="C279">
        <v>8</v>
      </c>
      <c r="D279" s="1">
        <v>41705</v>
      </c>
      <c r="E279" t="s">
        <v>301</v>
      </c>
      <c r="F279" t="s">
        <v>302</v>
      </c>
      <c r="G279" t="s">
        <v>394</v>
      </c>
    </row>
    <row r="280" spans="1:7" x14ac:dyDescent="0.45">
      <c r="A280" t="s">
        <v>9</v>
      </c>
      <c r="B280" s="1">
        <v>41705</v>
      </c>
      <c r="C280">
        <v>16</v>
      </c>
      <c r="D280" s="1">
        <v>41705</v>
      </c>
      <c r="E280" t="s">
        <v>303</v>
      </c>
      <c r="F280" t="s">
        <v>11</v>
      </c>
      <c r="G280" t="s">
        <v>394</v>
      </c>
    </row>
    <row r="281" spans="1:7" x14ac:dyDescent="0.45">
      <c r="A281" t="s">
        <v>19</v>
      </c>
      <c r="B281" s="1">
        <v>41697</v>
      </c>
      <c r="C281">
        <v>16</v>
      </c>
      <c r="D281" s="1">
        <v>41697</v>
      </c>
      <c r="E281" t="s">
        <v>304</v>
      </c>
      <c r="F281" t="s">
        <v>21</v>
      </c>
      <c r="G281" t="s">
        <v>394</v>
      </c>
    </row>
    <row r="282" spans="1:7" x14ac:dyDescent="0.45">
      <c r="A282" t="s">
        <v>305</v>
      </c>
      <c r="B282" s="1">
        <v>41694</v>
      </c>
      <c r="C282">
        <v>35</v>
      </c>
      <c r="D282" s="1">
        <v>41681</v>
      </c>
      <c r="E282" t="s">
        <v>306</v>
      </c>
      <c r="F282" t="s">
        <v>307</v>
      </c>
      <c r="G282" t="s">
        <v>394</v>
      </c>
    </row>
    <row r="283" spans="1:7" x14ac:dyDescent="0.45">
      <c r="A283" t="s">
        <v>305</v>
      </c>
      <c r="B283" s="1">
        <v>41694</v>
      </c>
      <c r="C283">
        <v>15</v>
      </c>
      <c r="D283" s="1">
        <v>41628</v>
      </c>
      <c r="E283" t="s">
        <v>308</v>
      </c>
      <c r="F283" t="s">
        <v>307</v>
      </c>
      <c r="G283" t="s">
        <v>394</v>
      </c>
    </row>
    <row r="284" spans="1:7" x14ac:dyDescent="0.45">
      <c r="A284" t="s">
        <v>305</v>
      </c>
      <c r="B284" s="1">
        <v>41694</v>
      </c>
      <c r="C284">
        <v>50</v>
      </c>
      <c r="D284" s="1">
        <v>41681</v>
      </c>
      <c r="E284" t="s">
        <v>309</v>
      </c>
      <c r="F284" t="s">
        <v>307</v>
      </c>
      <c r="G284" t="s">
        <v>394</v>
      </c>
    </row>
    <row r="285" spans="1:7" x14ac:dyDescent="0.45">
      <c r="A285" t="s">
        <v>305</v>
      </c>
      <c r="B285" s="1">
        <v>41691</v>
      </c>
      <c r="C285">
        <v>-15</v>
      </c>
      <c r="D285" s="1">
        <v>41628</v>
      </c>
      <c r="E285" t="s">
        <v>310</v>
      </c>
      <c r="F285" t="s">
        <v>307</v>
      </c>
      <c r="G285" t="s">
        <v>394</v>
      </c>
    </row>
    <row r="286" spans="1:7" x14ac:dyDescent="0.45">
      <c r="A286" t="s">
        <v>305</v>
      </c>
      <c r="B286" s="1">
        <v>41691</v>
      </c>
      <c r="C286">
        <v>-35</v>
      </c>
      <c r="D286" s="1">
        <v>41641</v>
      </c>
      <c r="E286" t="s">
        <v>311</v>
      </c>
      <c r="F286" t="s">
        <v>307</v>
      </c>
      <c r="G286" t="s">
        <v>394</v>
      </c>
    </row>
    <row r="287" spans="1:7" x14ac:dyDescent="0.45">
      <c r="A287" t="s">
        <v>305</v>
      </c>
      <c r="B287" s="1">
        <v>41691</v>
      </c>
      <c r="C287">
        <v>-50</v>
      </c>
      <c r="D287" s="1">
        <v>41681</v>
      </c>
      <c r="E287" t="s">
        <v>312</v>
      </c>
      <c r="F287" t="s">
        <v>307</v>
      </c>
      <c r="G287" t="s">
        <v>394</v>
      </c>
    </row>
    <row r="288" spans="1:7" x14ac:dyDescent="0.45">
      <c r="A288" t="s">
        <v>305</v>
      </c>
      <c r="B288" s="1">
        <v>41681</v>
      </c>
      <c r="C288">
        <v>50</v>
      </c>
      <c r="D288" s="1">
        <v>41681</v>
      </c>
      <c r="E288" t="s">
        <v>312</v>
      </c>
      <c r="F288" t="s">
        <v>307</v>
      </c>
      <c r="G288" t="s">
        <v>394</v>
      </c>
    </row>
    <row r="289" spans="1:7" x14ac:dyDescent="0.45">
      <c r="A289" t="s">
        <v>9</v>
      </c>
      <c r="B289" s="1">
        <v>41663</v>
      </c>
      <c r="C289">
        <v>10</v>
      </c>
      <c r="D289" s="1">
        <v>41663</v>
      </c>
      <c r="E289" t="s">
        <v>313</v>
      </c>
      <c r="F289" t="s">
        <v>11</v>
      </c>
      <c r="G289" t="s">
        <v>394</v>
      </c>
    </row>
    <row r="290" spans="1:7" x14ac:dyDescent="0.45">
      <c r="A290" t="s">
        <v>19</v>
      </c>
      <c r="B290" s="1">
        <v>41663</v>
      </c>
      <c r="C290">
        <v>4</v>
      </c>
      <c r="D290" s="1">
        <v>41663</v>
      </c>
      <c r="E290" t="s">
        <v>314</v>
      </c>
      <c r="F290" t="s">
        <v>21</v>
      </c>
      <c r="G290" t="s">
        <v>394</v>
      </c>
    </row>
    <row r="291" spans="1:7" x14ac:dyDescent="0.45">
      <c r="A291" t="s">
        <v>9</v>
      </c>
      <c r="B291" s="1">
        <v>41649</v>
      </c>
      <c r="C291">
        <v>4</v>
      </c>
      <c r="D291" s="1">
        <v>41649</v>
      </c>
      <c r="E291" t="s">
        <v>315</v>
      </c>
      <c r="F291" t="s">
        <v>11</v>
      </c>
      <c r="G291" t="s">
        <v>394</v>
      </c>
    </row>
    <row r="292" spans="1:7" x14ac:dyDescent="0.45">
      <c r="A292" t="s">
        <v>9</v>
      </c>
      <c r="B292" s="1">
        <v>41649</v>
      </c>
      <c r="C292">
        <v>3</v>
      </c>
      <c r="D292" s="1">
        <v>41649</v>
      </c>
      <c r="E292" t="s">
        <v>316</v>
      </c>
      <c r="F292" t="s">
        <v>11</v>
      </c>
      <c r="G292" t="s">
        <v>394</v>
      </c>
    </row>
    <row r="293" spans="1:7" x14ac:dyDescent="0.45">
      <c r="A293" t="s">
        <v>9</v>
      </c>
      <c r="B293" s="1">
        <v>41649</v>
      </c>
      <c r="C293">
        <v>5</v>
      </c>
      <c r="D293" s="1">
        <v>41649</v>
      </c>
      <c r="E293" t="s">
        <v>317</v>
      </c>
      <c r="F293" t="s">
        <v>11</v>
      </c>
      <c r="G293" t="s">
        <v>394</v>
      </c>
    </row>
    <row r="294" spans="1:7" x14ac:dyDescent="0.45">
      <c r="A294" t="s">
        <v>318</v>
      </c>
      <c r="B294" s="1">
        <v>41648</v>
      </c>
      <c r="C294">
        <v>36</v>
      </c>
      <c r="D294" s="1">
        <v>41648</v>
      </c>
      <c r="E294" t="s">
        <v>319</v>
      </c>
      <c r="F294" t="s">
        <v>320</v>
      </c>
      <c r="G294" t="s">
        <v>394</v>
      </c>
    </row>
    <row r="295" spans="1:7" x14ac:dyDescent="0.45">
      <c r="A295" t="s">
        <v>9</v>
      </c>
      <c r="B295" s="1">
        <v>41648</v>
      </c>
      <c r="C295">
        <v>6</v>
      </c>
      <c r="D295" s="1">
        <v>41648</v>
      </c>
      <c r="E295" t="s">
        <v>321</v>
      </c>
      <c r="F295" t="s">
        <v>11</v>
      </c>
      <c r="G295" t="s">
        <v>394</v>
      </c>
    </row>
    <row r="296" spans="1:7" x14ac:dyDescent="0.45">
      <c r="A296" t="s">
        <v>305</v>
      </c>
      <c r="B296" s="1">
        <v>41641</v>
      </c>
      <c r="C296">
        <v>35</v>
      </c>
      <c r="D296" s="1">
        <v>41641</v>
      </c>
      <c r="E296" t="s">
        <v>311</v>
      </c>
      <c r="F296" t="s">
        <v>307</v>
      </c>
      <c r="G296" t="s">
        <v>394</v>
      </c>
    </row>
    <row r="297" spans="1:7" x14ac:dyDescent="0.45">
      <c r="A297" t="s">
        <v>300</v>
      </c>
      <c r="B297" s="1">
        <v>41634</v>
      </c>
      <c r="C297">
        <v>2</v>
      </c>
      <c r="D297" s="1">
        <v>41634</v>
      </c>
      <c r="E297" t="s">
        <v>322</v>
      </c>
      <c r="F297" t="s">
        <v>302</v>
      </c>
      <c r="G297" t="s">
        <v>394</v>
      </c>
    </row>
    <row r="298" spans="1:7" x14ac:dyDescent="0.45">
      <c r="A298" t="s">
        <v>19</v>
      </c>
      <c r="B298" s="1">
        <v>41628</v>
      </c>
      <c r="C298">
        <v>8</v>
      </c>
      <c r="D298" s="1">
        <v>41628</v>
      </c>
      <c r="E298" t="s">
        <v>323</v>
      </c>
      <c r="F298" t="s">
        <v>21</v>
      </c>
      <c r="G298" t="s">
        <v>394</v>
      </c>
    </row>
    <row r="299" spans="1:7" x14ac:dyDescent="0.45">
      <c r="A299" t="s">
        <v>305</v>
      </c>
      <c r="B299" s="1">
        <v>41628</v>
      </c>
      <c r="C299">
        <v>15</v>
      </c>
      <c r="D299" s="1">
        <v>41628</v>
      </c>
      <c r="E299" t="s">
        <v>310</v>
      </c>
      <c r="F299" t="s">
        <v>307</v>
      </c>
      <c r="G299" t="s">
        <v>394</v>
      </c>
    </row>
    <row r="300" spans="1:7" x14ac:dyDescent="0.45">
      <c r="A300" t="s">
        <v>19</v>
      </c>
      <c r="B300" s="1">
        <v>41617</v>
      </c>
      <c r="C300">
        <v>16</v>
      </c>
      <c r="D300" s="1">
        <v>41617</v>
      </c>
      <c r="E300" t="s">
        <v>324</v>
      </c>
      <c r="F300" t="s">
        <v>21</v>
      </c>
      <c r="G300" t="s">
        <v>394</v>
      </c>
    </row>
    <row r="301" spans="1:7" x14ac:dyDescent="0.45">
      <c r="A301" t="s">
        <v>9</v>
      </c>
      <c r="B301" s="1">
        <v>41603</v>
      </c>
      <c r="C301">
        <v>5</v>
      </c>
      <c r="D301" s="1">
        <v>41603</v>
      </c>
      <c r="E301" t="s">
        <v>325</v>
      </c>
      <c r="F301" t="s">
        <v>11</v>
      </c>
      <c r="G301" t="s">
        <v>394</v>
      </c>
    </row>
    <row r="302" spans="1:7" x14ac:dyDescent="0.45">
      <c r="A302" t="s">
        <v>9</v>
      </c>
      <c r="B302" s="1">
        <v>41603</v>
      </c>
      <c r="C302">
        <v>4</v>
      </c>
      <c r="D302" s="1">
        <v>41603</v>
      </c>
      <c r="E302" t="s">
        <v>326</v>
      </c>
      <c r="F302" t="s">
        <v>11</v>
      </c>
      <c r="G302" t="s">
        <v>394</v>
      </c>
    </row>
    <row r="303" spans="1:7" x14ac:dyDescent="0.45">
      <c r="A303" t="s">
        <v>9</v>
      </c>
      <c r="B303" s="1">
        <v>41603</v>
      </c>
      <c r="C303">
        <v>4</v>
      </c>
      <c r="D303" s="1">
        <v>41603</v>
      </c>
      <c r="E303" t="s">
        <v>327</v>
      </c>
      <c r="F303" t="s">
        <v>11</v>
      </c>
      <c r="G303" t="s">
        <v>394</v>
      </c>
    </row>
    <row r="304" spans="1:7" x14ac:dyDescent="0.45">
      <c r="A304" t="s">
        <v>318</v>
      </c>
      <c r="B304" s="1">
        <v>41599</v>
      </c>
      <c r="C304">
        <v>10</v>
      </c>
      <c r="D304" s="1">
        <v>41599</v>
      </c>
      <c r="E304" t="s">
        <v>328</v>
      </c>
      <c r="F304" t="s">
        <v>320</v>
      </c>
      <c r="G304" t="s">
        <v>394</v>
      </c>
    </row>
    <row r="305" spans="1:7" x14ac:dyDescent="0.45">
      <c r="A305" t="s">
        <v>19</v>
      </c>
      <c r="B305" s="1">
        <v>41598</v>
      </c>
      <c r="C305">
        <v>16</v>
      </c>
      <c r="D305" s="1">
        <v>41598</v>
      </c>
      <c r="E305" t="s">
        <v>329</v>
      </c>
      <c r="F305" t="s">
        <v>21</v>
      </c>
      <c r="G305" t="s">
        <v>394</v>
      </c>
    </row>
    <row r="306" spans="1:7" x14ac:dyDescent="0.45">
      <c r="A306" t="s">
        <v>19</v>
      </c>
      <c r="B306" s="1">
        <v>41598</v>
      </c>
      <c r="C306">
        <v>-16</v>
      </c>
      <c r="D306" s="1">
        <v>41598</v>
      </c>
      <c r="E306" t="s">
        <v>329</v>
      </c>
      <c r="F306" t="s">
        <v>21</v>
      </c>
      <c r="G306" t="s">
        <v>394</v>
      </c>
    </row>
    <row r="307" spans="1:7" x14ac:dyDescent="0.45">
      <c r="A307" t="s">
        <v>19</v>
      </c>
      <c r="B307" s="1">
        <v>41598</v>
      </c>
      <c r="C307">
        <v>16</v>
      </c>
      <c r="D307" s="1">
        <v>41598</v>
      </c>
      <c r="E307" t="s">
        <v>330</v>
      </c>
      <c r="F307" t="s">
        <v>21</v>
      </c>
      <c r="G307" t="s">
        <v>394</v>
      </c>
    </row>
    <row r="308" spans="1:7" x14ac:dyDescent="0.45">
      <c r="A308" t="s">
        <v>305</v>
      </c>
      <c r="B308" s="1">
        <v>41596</v>
      </c>
      <c r="C308">
        <v>16</v>
      </c>
      <c r="D308" s="1">
        <v>41596</v>
      </c>
      <c r="E308" t="s">
        <v>331</v>
      </c>
      <c r="F308" t="s">
        <v>307</v>
      </c>
      <c r="G308" t="s">
        <v>394</v>
      </c>
    </row>
    <row r="309" spans="1:7" x14ac:dyDescent="0.45">
      <c r="A309" t="s">
        <v>305</v>
      </c>
      <c r="B309" s="1">
        <v>41583</v>
      </c>
      <c r="C309">
        <v>10</v>
      </c>
      <c r="D309" s="1">
        <v>41583</v>
      </c>
      <c r="E309" t="s">
        <v>332</v>
      </c>
      <c r="F309" t="s">
        <v>307</v>
      </c>
      <c r="G309" t="s">
        <v>394</v>
      </c>
    </row>
    <row r="310" spans="1:7" x14ac:dyDescent="0.45">
      <c r="A310" t="s">
        <v>19</v>
      </c>
      <c r="B310" s="1">
        <v>41577</v>
      </c>
      <c r="C310">
        <v>16</v>
      </c>
      <c r="D310" s="1">
        <v>41577</v>
      </c>
      <c r="E310" t="s">
        <v>333</v>
      </c>
      <c r="F310" t="s">
        <v>21</v>
      </c>
      <c r="G310" t="s">
        <v>394</v>
      </c>
    </row>
    <row r="311" spans="1:7" x14ac:dyDescent="0.45">
      <c r="A311" t="s">
        <v>9</v>
      </c>
      <c r="B311" s="1">
        <v>41575</v>
      </c>
      <c r="C311">
        <v>50</v>
      </c>
      <c r="D311" s="1">
        <v>41575</v>
      </c>
      <c r="E311" t="s">
        <v>334</v>
      </c>
      <c r="F311" t="s">
        <v>11</v>
      </c>
      <c r="G311" t="s">
        <v>394</v>
      </c>
    </row>
    <row r="312" spans="1:7" x14ac:dyDescent="0.45">
      <c r="A312" t="s">
        <v>9</v>
      </c>
      <c r="B312" s="1">
        <v>41563</v>
      </c>
      <c r="C312">
        <v>15</v>
      </c>
      <c r="D312" s="1">
        <v>41563</v>
      </c>
      <c r="E312" t="s">
        <v>335</v>
      </c>
      <c r="F312" t="s">
        <v>11</v>
      </c>
      <c r="G312" t="s">
        <v>394</v>
      </c>
    </row>
    <row r="313" spans="1:7" x14ac:dyDescent="0.45">
      <c r="A313" t="s">
        <v>19</v>
      </c>
      <c r="B313" s="1">
        <v>41561</v>
      </c>
      <c r="C313">
        <v>11</v>
      </c>
      <c r="D313" s="1">
        <v>41561</v>
      </c>
      <c r="E313" t="s">
        <v>336</v>
      </c>
      <c r="F313" t="s">
        <v>21</v>
      </c>
      <c r="G313" t="s">
        <v>394</v>
      </c>
    </row>
    <row r="314" spans="1:7" x14ac:dyDescent="0.45">
      <c r="A314" t="s">
        <v>305</v>
      </c>
      <c r="B314" s="1">
        <v>41558</v>
      </c>
      <c r="C314">
        <v>5</v>
      </c>
      <c r="D314" s="1">
        <v>41558</v>
      </c>
      <c r="E314" t="s">
        <v>337</v>
      </c>
      <c r="F314" t="s">
        <v>307</v>
      </c>
      <c r="G314" t="s">
        <v>394</v>
      </c>
    </row>
    <row r="315" spans="1:7" x14ac:dyDescent="0.45">
      <c r="A315" t="s">
        <v>305</v>
      </c>
      <c r="B315" s="1">
        <v>41555</v>
      </c>
      <c r="C315">
        <v>15</v>
      </c>
      <c r="D315" s="1">
        <v>41555</v>
      </c>
      <c r="E315" t="s">
        <v>338</v>
      </c>
      <c r="F315" t="s">
        <v>307</v>
      </c>
      <c r="G315" t="s">
        <v>394</v>
      </c>
    </row>
    <row r="316" spans="1:7" x14ac:dyDescent="0.45">
      <c r="A316" t="s">
        <v>9</v>
      </c>
      <c r="B316" s="1">
        <v>41555</v>
      </c>
      <c r="C316">
        <v>10</v>
      </c>
      <c r="D316" s="1">
        <v>41555</v>
      </c>
      <c r="E316" t="s">
        <v>339</v>
      </c>
      <c r="F316" t="s">
        <v>11</v>
      </c>
      <c r="G316" t="s">
        <v>394</v>
      </c>
    </row>
    <row r="317" spans="1:7" x14ac:dyDescent="0.45">
      <c r="A317" t="s">
        <v>9</v>
      </c>
      <c r="B317" s="1">
        <v>41554</v>
      </c>
      <c r="C317">
        <v>10</v>
      </c>
      <c r="D317" s="1">
        <v>41554</v>
      </c>
      <c r="E317" t="s">
        <v>340</v>
      </c>
      <c r="F317" t="s">
        <v>11</v>
      </c>
      <c r="G317" t="s">
        <v>394</v>
      </c>
    </row>
    <row r="318" spans="1:7" x14ac:dyDescent="0.45">
      <c r="A318" t="s">
        <v>9</v>
      </c>
      <c r="B318" s="1">
        <v>41550</v>
      </c>
      <c r="C318">
        <v>2</v>
      </c>
      <c r="D318" s="1">
        <v>41550</v>
      </c>
      <c r="E318" t="s">
        <v>341</v>
      </c>
      <c r="F318" t="s">
        <v>11</v>
      </c>
      <c r="G318" t="s">
        <v>394</v>
      </c>
    </row>
    <row r="319" spans="1:7" x14ac:dyDescent="0.45">
      <c r="A319" t="s">
        <v>9</v>
      </c>
      <c r="B319" s="1">
        <v>41548</v>
      </c>
      <c r="C319">
        <v>6</v>
      </c>
      <c r="D319" s="1">
        <v>41548</v>
      </c>
      <c r="E319" t="s">
        <v>342</v>
      </c>
      <c r="F319" t="s">
        <v>11</v>
      </c>
      <c r="G319" t="s">
        <v>394</v>
      </c>
    </row>
    <row r="320" spans="1:7" x14ac:dyDescent="0.45">
      <c r="A320" t="s">
        <v>9</v>
      </c>
      <c r="B320" s="1">
        <v>41547</v>
      </c>
      <c r="C320">
        <v>12</v>
      </c>
      <c r="D320" s="1">
        <v>41547</v>
      </c>
      <c r="E320" t="s">
        <v>343</v>
      </c>
      <c r="F320" t="s">
        <v>11</v>
      </c>
      <c r="G320" t="s">
        <v>394</v>
      </c>
    </row>
    <row r="321" spans="1:7" x14ac:dyDescent="0.45">
      <c r="A321" t="s">
        <v>305</v>
      </c>
      <c r="B321" s="1">
        <v>41534</v>
      </c>
      <c r="C321">
        <v>14</v>
      </c>
      <c r="D321" s="1">
        <v>41534</v>
      </c>
      <c r="E321" t="s">
        <v>344</v>
      </c>
      <c r="F321" t="s">
        <v>307</v>
      </c>
      <c r="G321" t="s">
        <v>394</v>
      </c>
    </row>
    <row r="322" spans="1:7" x14ac:dyDescent="0.45">
      <c r="A322" t="s">
        <v>318</v>
      </c>
      <c r="B322" s="1">
        <v>41515</v>
      </c>
      <c r="C322">
        <v>20</v>
      </c>
      <c r="D322" s="1">
        <v>41515</v>
      </c>
      <c r="E322" t="s">
        <v>345</v>
      </c>
      <c r="F322" t="s">
        <v>320</v>
      </c>
      <c r="G322" t="s">
        <v>394</v>
      </c>
    </row>
    <row r="323" spans="1:7" x14ac:dyDescent="0.45">
      <c r="A323" t="s">
        <v>19</v>
      </c>
      <c r="B323" s="1">
        <v>41465</v>
      </c>
      <c r="C323">
        <v>16</v>
      </c>
      <c r="D323" s="1">
        <v>41465</v>
      </c>
      <c r="E323" t="s">
        <v>346</v>
      </c>
      <c r="F323" t="s">
        <v>21</v>
      </c>
      <c r="G323" t="s">
        <v>394</v>
      </c>
    </row>
    <row r="324" spans="1:7" x14ac:dyDescent="0.45">
      <c r="A324" t="s">
        <v>19</v>
      </c>
      <c r="B324" s="1">
        <v>41465</v>
      </c>
      <c r="C324">
        <v>4</v>
      </c>
      <c r="D324" s="1">
        <v>41465</v>
      </c>
      <c r="E324" t="s">
        <v>347</v>
      </c>
      <c r="F324" t="s">
        <v>21</v>
      </c>
      <c r="G324" t="s">
        <v>394</v>
      </c>
    </row>
    <row r="325" spans="1:7" x14ac:dyDescent="0.45">
      <c r="A325" t="s">
        <v>318</v>
      </c>
      <c r="B325" s="1">
        <v>41452</v>
      </c>
      <c r="C325">
        <v>20</v>
      </c>
      <c r="D325" s="1">
        <v>41452</v>
      </c>
      <c r="E325" t="s">
        <v>348</v>
      </c>
      <c r="F325" t="s">
        <v>320</v>
      </c>
      <c r="G325" t="s">
        <v>394</v>
      </c>
    </row>
    <row r="326" spans="1:7" x14ac:dyDescent="0.45">
      <c r="A326" t="s">
        <v>305</v>
      </c>
      <c r="B326" s="1">
        <v>41439</v>
      </c>
      <c r="C326">
        <v>5</v>
      </c>
      <c r="D326" s="1">
        <v>41439</v>
      </c>
      <c r="E326" t="s">
        <v>349</v>
      </c>
      <c r="F326" t="s">
        <v>307</v>
      </c>
      <c r="G326" t="s">
        <v>394</v>
      </c>
    </row>
    <row r="327" spans="1:7" x14ac:dyDescent="0.45">
      <c r="A327" t="s">
        <v>305</v>
      </c>
      <c r="B327" s="1">
        <v>41439</v>
      </c>
      <c r="C327">
        <v>3</v>
      </c>
      <c r="D327" s="1">
        <v>41439</v>
      </c>
      <c r="E327" t="s">
        <v>350</v>
      </c>
      <c r="F327" t="s">
        <v>307</v>
      </c>
      <c r="G327" t="s">
        <v>394</v>
      </c>
    </row>
    <row r="328" spans="1:7" x14ac:dyDescent="0.45">
      <c r="A328" t="s">
        <v>19</v>
      </c>
      <c r="B328" s="1">
        <v>41373</v>
      </c>
      <c r="C328">
        <v>16</v>
      </c>
      <c r="D328" s="1">
        <v>41373</v>
      </c>
      <c r="E328" t="s">
        <v>351</v>
      </c>
      <c r="F328" t="s">
        <v>21</v>
      </c>
      <c r="G328" t="s">
        <v>394</v>
      </c>
    </row>
    <row r="329" spans="1:7" x14ac:dyDescent="0.45">
      <c r="A329" t="s">
        <v>318</v>
      </c>
      <c r="B329" s="1">
        <v>41366</v>
      </c>
      <c r="C329">
        <v>17</v>
      </c>
      <c r="D329" s="1">
        <v>41366</v>
      </c>
      <c r="E329" t="s">
        <v>352</v>
      </c>
      <c r="F329" t="s">
        <v>320</v>
      </c>
      <c r="G329" t="s">
        <v>394</v>
      </c>
    </row>
    <row r="330" spans="1:7" x14ac:dyDescent="0.45">
      <c r="A330" t="s">
        <v>318</v>
      </c>
      <c r="B330" s="1">
        <v>41351</v>
      </c>
      <c r="C330">
        <v>35</v>
      </c>
      <c r="D330" s="1">
        <v>41351</v>
      </c>
      <c r="E330" t="s">
        <v>353</v>
      </c>
      <c r="F330" t="s">
        <v>320</v>
      </c>
      <c r="G330" t="s">
        <v>394</v>
      </c>
    </row>
    <row r="331" spans="1:7" x14ac:dyDescent="0.45">
      <c r="A331" t="s">
        <v>19</v>
      </c>
      <c r="B331" s="1">
        <v>41347</v>
      </c>
      <c r="C331">
        <v>78</v>
      </c>
      <c r="D331" s="1">
        <v>41347</v>
      </c>
      <c r="E331" t="s">
        <v>354</v>
      </c>
      <c r="F331" t="s">
        <v>21</v>
      </c>
      <c r="G331" t="s">
        <v>394</v>
      </c>
    </row>
    <row r="332" spans="1:7" x14ac:dyDescent="0.45">
      <c r="A332" t="s">
        <v>19</v>
      </c>
      <c r="B332" s="1">
        <v>41330</v>
      </c>
      <c r="C332">
        <v>10</v>
      </c>
      <c r="D332" s="1">
        <v>41330</v>
      </c>
      <c r="E332" t="s">
        <v>355</v>
      </c>
      <c r="F332" t="s">
        <v>21</v>
      </c>
      <c r="G332" t="s">
        <v>394</v>
      </c>
    </row>
    <row r="333" spans="1:7" x14ac:dyDescent="0.45">
      <c r="A333" t="s">
        <v>19</v>
      </c>
      <c r="B333" s="1">
        <v>41312</v>
      </c>
      <c r="C333">
        <v>10</v>
      </c>
      <c r="D333" s="1">
        <v>41312</v>
      </c>
      <c r="E333" t="s">
        <v>356</v>
      </c>
      <c r="F333" t="s">
        <v>21</v>
      </c>
      <c r="G333" t="s">
        <v>394</v>
      </c>
    </row>
    <row r="334" spans="1:7" x14ac:dyDescent="0.45">
      <c r="A334" t="s">
        <v>19</v>
      </c>
      <c r="B334" s="1">
        <v>41311</v>
      </c>
      <c r="C334">
        <v>1</v>
      </c>
      <c r="D334" s="1">
        <v>41311</v>
      </c>
      <c r="E334" t="s">
        <v>357</v>
      </c>
      <c r="F334" t="s">
        <v>21</v>
      </c>
      <c r="G334" t="s">
        <v>394</v>
      </c>
    </row>
    <row r="335" spans="1:7" x14ac:dyDescent="0.45">
      <c r="A335" t="s">
        <v>19</v>
      </c>
      <c r="B335" s="1">
        <v>41247</v>
      </c>
      <c r="C335">
        <v>4</v>
      </c>
      <c r="D335" s="1">
        <v>41247</v>
      </c>
      <c r="E335" t="s">
        <v>358</v>
      </c>
      <c r="F335" t="s">
        <v>21</v>
      </c>
      <c r="G335" t="s">
        <v>394</v>
      </c>
    </row>
    <row r="336" spans="1:7" x14ac:dyDescent="0.45">
      <c r="A336" t="s">
        <v>19</v>
      </c>
      <c r="B336" s="1">
        <v>41247</v>
      </c>
      <c r="C336">
        <v>8</v>
      </c>
      <c r="D336" s="1">
        <v>41247</v>
      </c>
      <c r="E336" t="s">
        <v>358</v>
      </c>
      <c r="F336" t="s">
        <v>21</v>
      </c>
      <c r="G336" t="s">
        <v>394</v>
      </c>
    </row>
    <row r="337" spans="1:7" x14ac:dyDescent="0.45">
      <c r="A337" t="s">
        <v>19</v>
      </c>
      <c r="B337" s="1">
        <v>41225</v>
      </c>
      <c r="C337">
        <v>46</v>
      </c>
      <c r="D337" s="1">
        <v>41225</v>
      </c>
      <c r="E337" t="s">
        <v>359</v>
      </c>
      <c r="F337" t="s">
        <v>21</v>
      </c>
      <c r="G337" t="s">
        <v>394</v>
      </c>
    </row>
    <row r="338" spans="1:7" x14ac:dyDescent="0.45">
      <c r="A338" t="s">
        <v>19</v>
      </c>
      <c r="B338" s="1">
        <v>41225</v>
      </c>
      <c r="C338">
        <v>60</v>
      </c>
      <c r="D338" s="1">
        <v>41225</v>
      </c>
      <c r="E338" t="s">
        <v>360</v>
      </c>
      <c r="F338" t="s">
        <v>21</v>
      </c>
      <c r="G338" t="s">
        <v>394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1"/>
  <sheetViews>
    <sheetView topLeftCell="F1" workbookViewId="0">
      <selection activeCell="J2" sqref="J2"/>
    </sheetView>
  </sheetViews>
  <sheetFormatPr defaultRowHeight="14.25" x14ac:dyDescent="0.45"/>
  <cols>
    <col min="1" max="1" width="8.9296875" customWidth="1"/>
    <col min="2" max="2" width="13.796875" bestFit="1" customWidth="1"/>
    <col min="3" max="4" width="30.6640625" bestFit="1" customWidth="1"/>
    <col min="5" max="5" width="14.9296875" bestFit="1" customWidth="1"/>
    <col min="6" max="6" width="12.1328125" customWidth="1"/>
    <col min="7" max="7" width="14.53125" customWidth="1"/>
    <col min="8" max="8" width="13.59765625" customWidth="1"/>
    <col min="9" max="9" width="9.19921875" customWidth="1"/>
    <col min="10" max="10" width="20.33203125" bestFit="1" customWidth="1"/>
    <col min="11" max="11" width="28.86328125" bestFit="1" customWidth="1"/>
    <col min="12" max="12" width="7.73046875" bestFit="1" customWidth="1"/>
    <col min="13" max="13" width="11.796875" customWidth="1"/>
    <col min="14" max="14" width="13.3984375" style="1" customWidth="1"/>
    <col min="15" max="15" width="20.73046875" style="1" customWidth="1"/>
    <col min="16" max="16" width="14.86328125" customWidth="1"/>
    <col min="17" max="17" width="12.73046875" customWidth="1"/>
    <col min="18" max="18" width="8.73046875" bestFit="1" customWidth="1"/>
    <col min="19" max="22" width="8.73046875" customWidth="1"/>
    <col min="23" max="23" width="17.86328125" customWidth="1"/>
    <col min="24" max="24" width="21.73046875" customWidth="1"/>
    <col min="25" max="25" width="10.33203125" customWidth="1"/>
  </cols>
  <sheetData>
    <row r="1" spans="1:25" x14ac:dyDescent="0.45">
      <c r="A1" t="s">
        <v>361</v>
      </c>
      <c r="B1" t="s">
        <v>362</v>
      </c>
      <c r="C1" t="s">
        <v>363</v>
      </c>
      <c r="D1" t="s">
        <v>364</v>
      </c>
      <c r="E1" t="s">
        <v>365</v>
      </c>
      <c r="F1" t="s">
        <v>366</v>
      </c>
      <c r="G1" t="s">
        <v>367</v>
      </c>
      <c r="H1" t="s">
        <v>368</v>
      </c>
      <c r="I1" t="s">
        <v>369</v>
      </c>
      <c r="J1" t="s">
        <v>370</v>
      </c>
      <c r="K1" t="s">
        <v>371</v>
      </c>
      <c r="L1" t="s">
        <v>372</v>
      </c>
      <c r="M1" t="s">
        <v>373</v>
      </c>
      <c r="N1" s="1" t="s">
        <v>374</v>
      </c>
      <c r="O1" s="1" t="s">
        <v>375</v>
      </c>
      <c r="P1" t="s">
        <v>376</v>
      </c>
      <c r="Q1" t="s">
        <v>377</v>
      </c>
      <c r="R1" t="s">
        <v>378</v>
      </c>
      <c r="S1" t="s">
        <v>379</v>
      </c>
      <c r="T1" t="s">
        <v>380</v>
      </c>
      <c r="U1" t="s">
        <v>381</v>
      </c>
      <c r="V1" t="s">
        <v>382</v>
      </c>
      <c r="W1" t="s">
        <v>383</v>
      </c>
      <c r="X1" t="s">
        <v>384</v>
      </c>
      <c r="Y1" t="s">
        <v>385</v>
      </c>
    </row>
    <row r="2" spans="1:25" x14ac:dyDescent="0.45">
      <c r="A2" t="s">
        <v>388</v>
      </c>
      <c r="B2" t="s">
        <v>413</v>
      </c>
      <c r="C2" t="s">
        <v>414</v>
      </c>
      <c r="D2" t="s">
        <v>410</v>
      </c>
      <c r="E2" t="s">
        <v>409</v>
      </c>
      <c r="F2" t="s">
        <v>405</v>
      </c>
      <c r="G2">
        <v>25</v>
      </c>
      <c r="H2">
        <v>0</v>
      </c>
      <c r="I2">
        <v>25</v>
      </c>
      <c r="J2" t="s">
        <v>394</v>
      </c>
      <c r="K2" t="s">
        <v>390</v>
      </c>
      <c r="L2">
        <v>1468</v>
      </c>
      <c r="M2">
        <v>36700</v>
      </c>
      <c r="N2" s="1">
        <v>43119</v>
      </c>
      <c r="O2" s="1">
        <v>43297</v>
      </c>
      <c r="P2" t="s">
        <v>391</v>
      </c>
      <c r="Q2" t="s">
        <v>395</v>
      </c>
      <c r="R2" t="s">
        <v>389</v>
      </c>
      <c r="S2" t="s">
        <v>387</v>
      </c>
      <c r="T2" t="s">
        <v>387</v>
      </c>
      <c r="U2" t="s">
        <v>387</v>
      </c>
      <c r="V2" t="s">
        <v>387</v>
      </c>
      <c r="W2">
        <v>43297</v>
      </c>
      <c r="X2" t="s">
        <v>415</v>
      </c>
      <c r="Y2">
        <v>0</v>
      </c>
    </row>
    <row r="3" spans="1:25" x14ac:dyDescent="0.45">
      <c r="A3" t="s">
        <v>388</v>
      </c>
      <c r="B3" t="s">
        <v>413</v>
      </c>
      <c r="C3" t="s">
        <v>414</v>
      </c>
      <c r="D3" t="s">
        <v>410</v>
      </c>
      <c r="E3" t="s">
        <v>409</v>
      </c>
      <c r="F3" t="s">
        <v>405</v>
      </c>
      <c r="G3">
        <v>25</v>
      </c>
      <c r="H3">
        <v>25</v>
      </c>
      <c r="I3">
        <v>0</v>
      </c>
      <c r="J3" t="s">
        <v>394</v>
      </c>
      <c r="K3" t="s">
        <v>390</v>
      </c>
      <c r="L3">
        <v>1545</v>
      </c>
      <c r="M3">
        <v>38625</v>
      </c>
      <c r="N3" s="1">
        <v>43122</v>
      </c>
      <c r="O3" s="1">
        <v>43283</v>
      </c>
      <c r="P3" t="s">
        <v>391</v>
      </c>
      <c r="Q3" t="s">
        <v>398</v>
      </c>
      <c r="R3" t="s">
        <v>389</v>
      </c>
      <c r="S3" t="s">
        <v>387</v>
      </c>
      <c r="T3" t="s">
        <v>387</v>
      </c>
      <c r="U3" t="s">
        <v>387</v>
      </c>
      <c r="V3" t="s">
        <v>387</v>
      </c>
      <c r="W3">
        <v>43283</v>
      </c>
      <c r="X3" t="s">
        <v>415</v>
      </c>
      <c r="Y3">
        <v>0</v>
      </c>
    </row>
    <row r="4" spans="1:25" x14ac:dyDescent="0.45">
      <c r="A4" t="s">
        <v>396</v>
      </c>
      <c r="B4" t="s">
        <v>416</v>
      </c>
      <c r="C4" t="s">
        <v>404</v>
      </c>
      <c r="D4" t="s">
        <v>404</v>
      </c>
      <c r="E4" t="s">
        <v>407</v>
      </c>
      <c r="F4" t="s">
        <v>405</v>
      </c>
      <c r="G4">
        <v>20</v>
      </c>
      <c r="H4">
        <v>20</v>
      </c>
      <c r="I4">
        <v>0</v>
      </c>
      <c r="J4" t="s">
        <v>394</v>
      </c>
      <c r="K4" t="s">
        <v>390</v>
      </c>
      <c r="L4">
        <v>1460</v>
      </c>
      <c r="M4">
        <v>29200</v>
      </c>
      <c r="N4" s="1">
        <v>43234</v>
      </c>
      <c r="O4" s="1">
        <v>43283</v>
      </c>
      <c r="P4" t="s">
        <v>391</v>
      </c>
      <c r="Q4" t="s">
        <v>397</v>
      </c>
      <c r="R4" t="s">
        <v>392</v>
      </c>
      <c r="S4" t="s">
        <v>387</v>
      </c>
      <c r="T4" t="s">
        <v>387</v>
      </c>
      <c r="U4" t="s">
        <v>387</v>
      </c>
      <c r="V4" t="s">
        <v>387</v>
      </c>
      <c r="W4">
        <v>43283</v>
      </c>
      <c r="X4" t="s">
        <v>415</v>
      </c>
      <c r="Y4">
        <v>0</v>
      </c>
    </row>
    <row r="5" spans="1:25" x14ac:dyDescent="0.45">
      <c r="A5" t="s">
        <v>396</v>
      </c>
      <c r="B5" t="s">
        <v>416</v>
      </c>
      <c r="C5" t="s">
        <v>404</v>
      </c>
      <c r="D5" t="s">
        <v>404</v>
      </c>
      <c r="E5" t="s">
        <v>407</v>
      </c>
      <c r="F5" t="s">
        <v>405</v>
      </c>
      <c r="G5">
        <v>20</v>
      </c>
      <c r="H5">
        <v>0</v>
      </c>
      <c r="I5">
        <v>20</v>
      </c>
      <c r="J5" t="s">
        <v>394</v>
      </c>
      <c r="K5" t="s">
        <v>390</v>
      </c>
      <c r="L5">
        <v>1460</v>
      </c>
      <c r="M5">
        <v>29200</v>
      </c>
      <c r="N5" s="1">
        <v>43234</v>
      </c>
      <c r="O5" s="1">
        <v>43290</v>
      </c>
      <c r="P5" t="s">
        <v>391</v>
      </c>
      <c r="Q5" t="s">
        <v>397</v>
      </c>
      <c r="R5" t="s">
        <v>389</v>
      </c>
      <c r="S5" t="s">
        <v>387</v>
      </c>
      <c r="T5" t="s">
        <v>387</v>
      </c>
      <c r="U5" t="s">
        <v>387</v>
      </c>
      <c r="V5" t="s">
        <v>387</v>
      </c>
      <c r="W5">
        <v>43290</v>
      </c>
      <c r="X5" t="s">
        <v>415</v>
      </c>
      <c r="Y5">
        <v>0</v>
      </c>
    </row>
    <row r="6" spans="1:25" x14ac:dyDescent="0.45">
      <c r="A6" t="s">
        <v>388</v>
      </c>
      <c r="B6" t="s">
        <v>413</v>
      </c>
      <c r="C6" t="s">
        <v>414</v>
      </c>
      <c r="D6" t="s">
        <v>410</v>
      </c>
      <c r="E6" t="s">
        <v>409</v>
      </c>
      <c r="F6" t="s">
        <v>405</v>
      </c>
      <c r="G6">
        <v>50</v>
      </c>
      <c r="H6">
        <v>0</v>
      </c>
      <c r="I6">
        <v>50</v>
      </c>
      <c r="J6" t="s">
        <v>394</v>
      </c>
      <c r="K6" t="s">
        <v>390</v>
      </c>
      <c r="L6">
        <v>1545</v>
      </c>
      <c r="M6">
        <v>77250</v>
      </c>
      <c r="N6" s="1">
        <v>43245</v>
      </c>
      <c r="O6" s="1">
        <v>43304</v>
      </c>
      <c r="P6" t="s">
        <v>391</v>
      </c>
      <c r="Q6" t="s">
        <v>400</v>
      </c>
      <c r="R6" t="s">
        <v>393</v>
      </c>
      <c r="S6" t="s">
        <v>387</v>
      </c>
      <c r="T6" t="s">
        <v>387</v>
      </c>
      <c r="U6" t="s">
        <v>387</v>
      </c>
      <c r="V6" t="s">
        <v>387</v>
      </c>
      <c r="W6">
        <v>43304</v>
      </c>
      <c r="X6" t="s">
        <v>415</v>
      </c>
      <c r="Y6">
        <v>0</v>
      </c>
    </row>
    <row r="7" spans="1:25" x14ac:dyDescent="0.45">
      <c r="A7" t="s">
        <v>388</v>
      </c>
      <c r="B7" t="s">
        <v>413</v>
      </c>
      <c r="C7" t="s">
        <v>414</v>
      </c>
      <c r="D7" t="s">
        <v>410</v>
      </c>
      <c r="E7" t="s">
        <v>409</v>
      </c>
      <c r="F7" t="s">
        <v>405</v>
      </c>
      <c r="G7">
        <v>50</v>
      </c>
      <c r="H7">
        <v>0</v>
      </c>
      <c r="I7">
        <v>50</v>
      </c>
      <c r="J7" t="s">
        <v>394</v>
      </c>
      <c r="K7" t="s">
        <v>390</v>
      </c>
      <c r="L7">
        <v>1545</v>
      </c>
      <c r="M7">
        <v>77250</v>
      </c>
      <c r="N7" s="1">
        <v>43245</v>
      </c>
      <c r="O7" s="1">
        <v>43348</v>
      </c>
      <c r="P7" t="s">
        <v>391</v>
      </c>
      <c r="Q7" t="s">
        <v>400</v>
      </c>
      <c r="R7" t="s">
        <v>389</v>
      </c>
      <c r="S7" t="s">
        <v>387</v>
      </c>
      <c r="T7" t="s">
        <v>387</v>
      </c>
      <c r="U7" t="s">
        <v>387</v>
      </c>
      <c r="V7" t="s">
        <v>387</v>
      </c>
      <c r="W7">
        <v>43348</v>
      </c>
      <c r="X7" t="s">
        <v>420</v>
      </c>
      <c r="Y7">
        <v>0</v>
      </c>
    </row>
    <row r="8" spans="1:25" x14ac:dyDescent="0.45">
      <c r="A8" t="s">
        <v>396</v>
      </c>
      <c r="B8" t="s">
        <v>416</v>
      </c>
      <c r="C8" t="s">
        <v>404</v>
      </c>
      <c r="D8" t="s">
        <v>404</v>
      </c>
      <c r="E8" t="s">
        <v>407</v>
      </c>
      <c r="F8" t="s">
        <v>405</v>
      </c>
      <c r="G8">
        <v>55</v>
      </c>
      <c r="H8">
        <v>0</v>
      </c>
      <c r="I8">
        <v>55</v>
      </c>
      <c r="J8" t="s">
        <v>394</v>
      </c>
      <c r="K8" t="s">
        <v>390</v>
      </c>
      <c r="L8">
        <v>1460</v>
      </c>
      <c r="M8">
        <v>80300</v>
      </c>
      <c r="N8" s="1">
        <v>43263</v>
      </c>
      <c r="O8" s="1">
        <v>43307</v>
      </c>
      <c r="P8" t="s">
        <v>391</v>
      </c>
      <c r="Q8" t="s">
        <v>402</v>
      </c>
      <c r="R8" t="s">
        <v>392</v>
      </c>
      <c r="S8" t="s">
        <v>387</v>
      </c>
      <c r="T8" t="s">
        <v>387</v>
      </c>
      <c r="U8" t="s">
        <v>387</v>
      </c>
      <c r="V8" t="s">
        <v>387</v>
      </c>
      <c r="W8">
        <v>43307</v>
      </c>
      <c r="X8" t="s">
        <v>415</v>
      </c>
      <c r="Y8">
        <v>0</v>
      </c>
    </row>
    <row r="9" spans="1:25" x14ac:dyDescent="0.45">
      <c r="A9" t="s">
        <v>386</v>
      </c>
      <c r="B9" t="s">
        <v>417</v>
      </c>
      <c r="C9" t="s">
        <v>418</v>
      </c>
      <c r="D9" t="s">
        <v>418</v>
      </c>
      <c r="E9" t="s">
        <v>419</v>
      </c>
      <c r="F9" t="s">
        <v>408</v>
      </c>
      <c r="G9">
        <v>5</v>
      </c>
      <c r="H9">
        <v>0</v>
      </c>
      <c r="I9">
        <v>5</v>
      </c>
      <c r="J9" t="s">
        <v>394</v>
      </c>
      <c r="K9" t="s">
        <v>390</v>
      </c>
      <c r="L9">
        <v>2097</v>
      </c>
      <c r="M9">
        <v>10485</v>
      </c>
      <c r="N9" s="1">
        <v>43264</v>
      </c>
      <c r="O9" s="1">
        <v>43287</v>
      </c>
      <c r="P9" t="s">
        <v>391</v>
      </c>
      <c r="Q9" t="s">
        <v>399</v>
      </c>
      <c r="R9" t="s">
        <v>392</v>
      </c>
      <c r="S9" t="s">
        <v>387</v>
      </c>
      <c r="T9" t="s">
        <v>387</v>
      </c>
      <c r="U9" t="s">
        <v>387</v>
      </c>
      <c r="V9" t="s">
        <v>387</v>
      </c>
      <c r="W9">
        <v>43287</v>
      </c>
      <c r="X9" t="s">
        <v>415</v>
      </c>
      <c r="Y9">
        <v>0</v>
      </c>
    </row>
    <row r="10" spans="1:25" x14ac:dyDescent="0.45">
      <c r="A10" t="s">
        <v>388</v>
      </c>
      <c r="B10" t="s">
        <v>413</v>
      </c>
      <c r="C10" t="s">
        <v>414</v>
      </c>
      <c r="D10" t="s">
        <v>410</v>
      </c>
      <c r="E10" t="s">
        <v>409</v>
      </c>
      <c r="F10" t="s">
        <v>405</v>
      </c>
      <c r="G10">
        <v>15</v>
      </c>
      <c r="H10">
        <v>0</v>
      </c>
      <c r="I10">
        <v>15</v>
      </c>
      <c r="J10" t="s">
        <v>394</v>
      </c>
      <c r="K10" t="s">
        <v>390</v>
      </c>
      <c r="L10">
        <v>1545</v>
      </c>
      <c r="M10">
        <v>23175</v>
      </c>
      <c r="N10" s="1">
        <v>43264</v>
      </c>
      <c r="O10" s="1">
        <v>43300</v>
      </c>
      <c r="P10" t="s">
        <v>391</v>
      </c>
      <c r="Q10" t="s">
        <v>403</v>
      </c>
      <c r="R10" t="s">
        <v>392</v>
      </c>
      <c r="S10" t="s">
        <v>387</v>
      </c>
      <c r="T10" t="s">
        <v>387</v>
      </c>
      <c r="U10" t="s">
        <v>387</v>
      </c>
      <c r="V10" t="s">
        <v>387</v>
      </c>
      <c r="W10">
        <v>43300</v>
      </c>
      <c r="X10" t="s">
        <v>415</v>
      </c>
      <c r="Y10">
        <v>0</v>
      </c>
    </row>
    <row r="11" spans="1:25" x14ac:dyDescent="0.45">
      <c r="A11" t="s">
        <v>386</v>
      </c>
      <c r="B11" t="s">
        <v>421</v>
      </c>
      <c r="C11" t="s">
        <v>411</v>
      </c>
      <c r="D11" t="s">
        <v>411</v>
      </c>
      <c r="E11" t="s">
        <v>412</v>
      </c>
      <c r="F11" t="s">
        <v>406</v>
      </c>
      <c r="G11">
        <v>6</v>
      </c>
      <c r="H11">
        <v>0</v>
      </c>
      <c r="I11">
        <v>6</v>
      </c>
      <c r="J11" t="s">
        <v>394</v>
      </c>
      <c r="K11" t="s">
        <v>390</v>
      </c>
      <c r="L11">
        <v>1545</v>
      </c>
      <c r="M11">
        <v>9270</v>
      </c>
      <c r="N11" s="1">
        <v>43276</v>
      </c>
      <c r="O11" s="1">
        <v>43298</v>
      </c>
      <c r="P11" t="s">
        <v>391</v>
      </c>
      <c r="Q11" t="s">
        <v>401</v>
      </c>
      <c r="R11" t="s">
        <v>392</v>
      </c>
      <c r="S11" t="s">
        <v>387</v>
      </c>
      <c r="T11" t="s">
        <v>387</v>
      </c>
      <c r="U11" t="s">
        <v>387</v>
      </c>
      <c r="V11" t="s">
        <v>387</v>
      </c>
      <c r="W11">
        <v>43298</v>
      </c>
      <c r="X11" t="s">
        <v>415</v>
      </c>
      <c r="Y11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39" sqref="B39"/>
    </sheetView>
  </sheetViews>
  <sheetFormatPr defaultRowHeight="14.25" x14ac:dyDescent="0.4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B28C041D-7047-467C-8ACC-2F310C628D66}">
  <ds:schemaRefs/>
</ds:datastoreItem>
</file>

<file path=customXml/itemProps2.xml><?xml version="1.0" encoding="utf-8"?>
<ds:datastoreItem xmlns:ds="http://schemas.openxmlformats.org/officeDocument/2006/customXml" ds:itemID="{516C10BF-642A-4D29-B466-3C8762689036}">
  <ds:schemaRefs/>
</ds:datastoreItem>
</file>

<file path=customXml/itemProps3.xml><?xml version="1.0" encoding="utf-8"?>
<ds:datastoreItem xmlns:ds="http://schemas.openxmlformats.org/officeDocument/2006/customXml" ds:itemID="{40E4F044-E08F-4B6F-A6AC-79F580A3E213}">
  <ds:schemaRefs/>
</ds:datastoreItem>
</file>

<file path=customXml/itemProps4.xml><?xml version="1.0" encoding="utf-8"?>
<ds:datastoreItem xmlns:ds="http://schemas.openxmlformats.org/officeDocument/2006/customXml" ds:itemID="{18B88849-4C58-4FE1-92D8-A3E331B06FE5}">
  <ds:schemaRefs/>
</ds:datastoreItem>
</file>

<file path=customXml/itemProps5.xml><?xml version="1.0" encoding="utf-8"?>
<ds:datastoreItem xmlns:ds="http://schemas.openxmlformats.org/officeDocument/2006/customXml" ds:itemID="{EA60ED24-8379-4EE5-85BD-C1C8590CC843}">
  <ds:schemaRefs/>
</ds:datastoreItem>
</file>

<file path=customXml/itemProps6.xml><?xml version="1.0" encoding="utf-8"?>
<ds:datastoreItem xmlns:ds="http://schemas.openxmlformats.org/officeDocument/2006/customXml" ds:itemID="{ED6E39FC-5D6A-4F60-AEA6-540E04CF4096}">
  <ds:schemaRefs/>
</ds:datastoreItem>
</file>

<file path=customXml/itemProps7.xml><?xml version="1.0" encoding="utf-8"?>
<ds:datastoreItem xmlns:ds="http://schemas.openxmlformats.org/officeDocument/2006/customXml" ds:itemID="{B58736B7-1461-46D7-B481-8413A17DA49A}">
  <ds:schemaRefs/>
</ds:datastoreItem>
</file>

<file path=customXml/itemProps8.xml><?xml version="1.0" encoding="utf-8"?>
<ds:datastoreItem xmlns:ds="http://schemas.openxmlformats.org/officeDocument/2006/customXml" ds:itemID="{C5D49806-4131-4ABF-AFA7-103820D31E6D}">
  <ds:schemaRefs/>
</ds:datastoreItem>
</file>

<file path=customXml/itemProps9.xml><?xml version="1.0" encoding="utf-8"?>
<ds:datastoreItem xmlns:ds="http://schemas.openxmlformats.org/officeDocument/2006/customXml" ds:itemID="{FFE03752-FDC3-44FF-BD71-DD8019CF3B55}">
  <ds:schemaRefs/>
</ds:datastoreItem>
</file>

<file path=customXml/itemProps10.xml><?xml version="1.0" encoding="utf-8"?>
<ds:datastoreItem xmlns:ds="http://schemas.openxmlformats.org/officeDocument/2006/customXml" ds:itemID="{3810F94A-9673-44D2-8505-CE0485A5D3FA}">
  <ds:schemaRefs/>
</ds:datastoreItem>
</file>

<file path=customXml/itemProps11.xml><?xml version="1.0" encoding="utf-8"?>
<ds:datastoreItem xmlns:ds="http://schemas.openxmlformats.org/officeDocument/2006/customXml" ds:itemID="{627C435C-2A01-441C-ACF0-FF4C967F1ED3}">
  <ds:schemaRefs/>
</ds:datastoreItem>
</file>

<file path=customXml/itemProps12.xml><?xml version="1.0" encoding="utf-8"?>
<ds:datastoreItem xmlns:ds="http://schemas.openxmlformats.org/officeDocument/2006/customXml" ds:itemID="{394E2906-22E3-41C7-8BFF-5057E0FE4EED}">
  <ds:schemaRefs/>
</ds:datastoreItem>
</file>

<file path=customXml/itemProps13.xml><?xml version="1.0" encoding="utf-8"?>
<ds:datastoreItem xmlns:ds="http://schemas.openxmlformats.org/officeDocument/2006/customXml" ds:itemID="{445AFED3-2118-48E6-BC55-B641C540FF3F}">
  <ds:schemaRefs/>
</ds:datastoreItem>
</file>

<file path=customXml/itemProps14.xml><?xml version="1.0" encoding="utf-8"?>
<ds:datastoreItem xmlns:ds="http://schemas.openxmlformats.org/officeDocument/2006/customXml" ds:itemID="{335ADF49-A35D-45E7-8CB3-CD80A9A020AB}">
  <ds:schemaRefs/>
</ds:datastoreItem>
</file>

<file path=customXml/itemProps15.xml><?xml version="1.0" encoding="utf-8"?>
<ds:datastoreItem xmlns:ds="http://schemas.openxmlformats.org/officeDocument/2006/customXml" ds:itemID="{19C545E1-CFA7-4488-83C1-2B5C1877D74C}">
  <ds:schemaRefs/>
</ds:datastoreItem>
</file>

<file path=customXml/itemProps16.xml><?xml version="1.0" encoding="utf-8"?>
<ds:datastoreItem xmlns:ds="http://schemas.openxmlformats.org/officeDocument/2006/customXml" ds:itemID="{370F07BF-2E23-47CD-AAC6-A7DD2C5BECCF}">
  <ds:schemaRefs/>
</ds:datastoreItem>
</file>

<file path=customXml/itemProps17.xml><?xml version="1.0" encoding="utf-8"?>
<ds:datastoreItem xmlns:ds="http://schemas.openxmlformats.org/officeDocument/2006/customXml" ds:itemID="{0B82E424-AACF-468E-A898-A78ADFA3F2BF}">
  <ds:schemaRefs/>
</ds:datastoreItem>
</file>

<file path=customXml/itemProps18.xml><?xml version="1.0" encoding="utf-8"?>
<ds:datastoreItem xmlns:ds="http://schemas.openxmlformats.org/officeDocument/2006/customXml" ds:itemID="{6ED850A1-7836-4D46-AE37-A031C0EB1E1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Sheet4</vt:lpstr>
      <vt:lpstr>Sheet1</vt:lpstr>
      <vt:lpstr>Shipped</vt:lpstr>
      <vt:lpstr>Open Orders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Park</dc:creator>
  <cp:lastModifiedBy>Ryan Park</cp:lastModifiedBy>
  <dcterms:created xsi:type="dcterms:W3CDTF">2018-07-02T22:37:11Z</dcterms:created>
  <dcterms:modified xsi:type="dcterms:W3CDTF">2018-07-03T20:07:37Z</dcterms:modified>
</cp:coreProperties>
</file>